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8D0A6B1065125AC/Documents/"/>
    </mc:Choice>
  </mc:AlternateContent>
  <xr:revisionPtr revIDLastSave="998" documentId="8_{E3A79013-36A4-49BA-9DD3-345EF9B51793}" xr6:coauthVersionLast="47" xr6:coauthVersionMax="47" xr10:uidLastSave="{D1DC6B23-F579-4CF4-BEAB-BF5A7BE2664C}"/>
  <bookViews>
    <workbookView xWindow="-108" yWindow="-108" windowWidth="23256" windowHeight="12456" activeTab="2" xr2:uid="{00000000-000D-0000-FFFF-FFFF00000000}"/>
  </bookViews>
  <sheets>
    <sheet name="DATA" sheetId="1" r:id="rId1"/>
    <sheet name="PIVOT TABLES" sheetId="2" r:id="rId2"/>
    <sheet name="DASH BOARD" sheetId="4" r:id="rId3"/>
  </sheets>
  <definedNames>
    <definedName name="NativeTimeline_Date">#N/A</definedName>
    <definedName name="Slicer_Branch">#N/A</definedName>
    <definedName name="Slicer_City">#N/A</definedName>
    <definedName name="Slicer_Gender">#N/A</definedName>
    <definedName name="Slicer_Product_line">#N/A</definedName>
    <definedName name="Slicer_Total">#N/A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8" i="2" l="1"/>
  <c r="K31" i="2"/>
  <c r="K29" i="2"/>
</calcChain>
</file>

<file path=xl/sharedStrings.xml><?xml version="1.0" encoding="utf-8"?>
<sst xmlns="http://schemas.openxmlformats.org/spreadsheetml/2006/main" count="14570" uniqueCount="2118">
  <si>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</si>
  <si>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</si>
  <si>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</si>
  <si>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</si>
  <si>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</si>
  <si>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</si>
  <si>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</si>
  <si>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</si>
  <si>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</si>
  <si>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</si>
  <si>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</si>
  <si>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</si>
  <si>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</si>
  <si>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</si>
  <si>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</si>
  <si>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</si>
  <si>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</si>
  <si>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</si>
  <si>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</si>
  <si>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</si>
  <si>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</si>
  <si>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</si>
  <si>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</si>
  <si>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</si>
  <si>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</si>
  <si>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</si>
  <si>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</si>
  <si>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</si>
  <si>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</si>
  <si>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</si>
  <si>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</si>
  <si>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</si>
  <si>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</si>
  <si>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</si>
  <si>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</si>
  <si>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</si>
  <si>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</si>
  <si>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</si>
  <si>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</si>
  <si>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</si>
  <si>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</si>
  <si>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</si>
  <si>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</si>
  <si>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</si>
  <si>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</si>
  <si>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</si>
  <si>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</si>
  <si>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</si>
  <si>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</si>
  <si>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</si>
  <si>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</si>
  <si>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</si>
  <si>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</si>
  <si>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</si>
  <si>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</si>
  <si>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</si>
  <si>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</si>
  <si>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</si>
  <si>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</si>
  <si>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</si>
  <si>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</si>
  <si>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</si>
  <si>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</si>
  <si>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</si>
  <si>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</si>
  <si>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</si>
  <si>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</si>
  <si>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</si>
  <si>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</si>
  <si>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</si>
  <si>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</si>
  <si>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</si>
  <si>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</si>
  <si>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</si>
  <si>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</si>
  <si>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</si>
  <si>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</si>
  <si>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</si>
  <si>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</si>
  <si>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</si>
  <si>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</si>
  <si>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</si>
  <si>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</si>
  <si>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</si>
  <si>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</si>
  <si>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</si>
  <si>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</si>
  <si>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</si>
  <si>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</si>
  <si>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</si>
  <si>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</si>
  <si>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</si>
  <si>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</si>
  <si>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</si>
  <si>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</si>
  <si>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</si>
  <si>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</si>
  <si>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</si>
  <si>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</si>
  <si>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</si>
  <si>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</si>
  <si>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</si>
  <si>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</si>
  <si>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</si>
  <si>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</si>
  <si>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</si>
  <si>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</si>
  <si>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</si>
  <si>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</si>
  <si>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</si>
  <si>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</si>
  <si>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</si>
  <si>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</si>
  <si>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</si>
  <si>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</si>
  <si>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</si>
  <si>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</si>
  <si>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</si>
  <si>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</si>
  <si>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</si>
  <si>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</si>
  <si>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</si>
  <si>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</si>
  <si>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</si>
  <si>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</si>
  <si>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</si>
  <si>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</si>
  <si>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</si>
  <si>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</si>
  <si>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</si>
  <si>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</si>
  <si>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</si>
  <si>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</si>
  <si>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</si>
  <si>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</si>
  <si>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</si>
  <si>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</si>
  <si>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</si>
  <si>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</si>
  <si>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</si>
  <si>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</si>
  <si>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</si>
  <si>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</si>
  <si>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</si>
  <si>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</si>
  <si>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</si>
  <si>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</si>
  <si>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</si>
  <si>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</si>
  <si>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</si>
  <si>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</si>
  <si>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</si>
  <si>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</si>
  <si>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</si>
  <si>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</si>
  <si>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</si>
  <si>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</si>
  <si>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</si>
  <si>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</si>
  <si>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</si>
  <si>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</si>
  <si>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</si>
  <si>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</si>
  <si>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</si>
  <si>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</si>
  <si>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</si>
  <si>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</si>
  <si>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</si>
  <si>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</si>
  <si>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</si>
  <si>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</si>
  <si>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</si>
  <si>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</si>
  <si>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</si>
  <si>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</si>
  <si>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</si>
  <si>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</si>
  <si>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</si>
  <si>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</si>
  <si>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</si>
  <si>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</si>
  <si>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</si>
  <si>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</si>
  <si>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</si>
  <si>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</si>
  <si>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</si>
  <si>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</si>
  <si>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</si>
  <si>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</si>
  <si>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</si>
  <si>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</si>
  <si>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</si>
  <si>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</si>
  <si>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</si>
  <si>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</si>
  <si>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</si>
  <si>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</si>
  <si>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</si>
  <si>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</si>
  <si>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</si>
  <si>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</si>
  <si>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</si>
  <si>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</si>
  <si>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</si>
  <si>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</si>
  <si>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</si>
  <si>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</si>
  <si>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</si>
  <si>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</si>
  <si>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</si>
  <si>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</si>
  <si>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</si>
  <si>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</si>
  <si>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</si>
  <si>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</si>
  <si>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</si>
  <si>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</si>
  <si>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</si>
  <si>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</si>
  <si>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</si>
  <si>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</si>
  <si>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</si>
  <si>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</si>
  <si>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</si>
  <si>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</si>
  <si>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</si>
  <si>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</si>
  <si>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</si>
  <si>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</si>
  <si>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</si>
  <si>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</si>
  <si>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</si>
  <si>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</si>
  <si>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</si>
  <si>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</si>
  <si>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</si>
  <si>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</si>
  <si>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</si>
  <si>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</si>
  <si>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</si>
  <si>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</si>
  <si>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</si>
  <si>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</si>
  <si>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</si>
  <si>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</si>
  <si>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</si>
  <si>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</si>
  <si>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</si>
  <si>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</si>
  <si>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</si>
  <si>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</si>
  <si>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</si>
  <si>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</si>
  <si>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</si>
  <si>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</si>
  <si>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</si>
  <si>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</si>
  <si>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</si>
  <si>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</si>
  <si>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</si>
  <si>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</si>
  <si>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</si>
  <si>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</si>
  <si>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</si>
  <si>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</si>
  <si>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</si>
  <si>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</si>
  <si>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</si>
  <si>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</si>
  <si>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</si>
  <si>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</si>
  <si>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</si>
  <si>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</si>
  <si>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</si>
  <si>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</si>
  <si>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</si>
  <si>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</si>
  <si>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</si>
  <si>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</si>
  <si>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</si>
  <si>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</si>
  <si>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</si>
  <si>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</si>
  <si>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</si>
  <si>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</si>
  <si>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</si>
  <si>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</si>
  <si>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</si>
  <si>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</si>
  <si>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</si>
  <si>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</si>
  <si>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</si>
  <si>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</si>
  <si>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</si>
  <si>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</si>
  <si>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</si>
  <si>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</si>
  <si>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</si>
  <si>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</si>
  <si>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</si>
  <si>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</si>
  <si>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</si>
  <si>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</si>
  <si>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</si>
  <si>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</si>
  <si>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</si>
  <si>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</si>
  <si>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</si>
  <si>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</si>
  <si>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</si>
  <si>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</si>
  <si>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</si>
  <si>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</si>
  <si>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</si>
  <si>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</si>
  <si>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</si>
  <si>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</si>
  <si>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</si>
  <si>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</si>
  <si>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</si>
  <si>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</si>
  <si>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</si>
  <si>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</si>
  <si>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</si>
  <si>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</si>
  <si>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</si>
  <si>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</si>
  <si>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</si>
  <si>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</si>
  <si>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</si>
  <si>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</si>
  <si>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</si>
  <si>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</si>
  <si>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</si>
  <si>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</si>
  <si>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</si>
  <si>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</si>
  <si>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</si>
  <si>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</si>
  <si>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</si>
  <si>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</si>
  <si>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</si>
  <si>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</si>
  <si>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</si>
  <si>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</si>
  <si>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</si>
  <si>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</si>
  <si>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</si>
  <si>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</si>
  <si>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</si>
  <si>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</si>
  <si>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</si>
  <si>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</si>
  <si>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</si>
  <si>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</si>
  <si>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</si>
  <si>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</si>
  <si>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</si>
  <si>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</si>
  <si>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</si>
  <si>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</si>
  <si>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</si>
  <si>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</si>
  <si>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</si>
  <si>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</si>
  <si>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</si>
  <si>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</si>
  <si>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</si>
  <si>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</si>
  <si>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</si>
  <si>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</si>
  <si>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</si>
  <si>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</si>
  <si>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</si>
  <si>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</si>
  <si>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</si>
  <si>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</si>
  <si>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</si>
  <si>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</si>
  <si>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</si>
  <si>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</si>
  <si>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</si>
  <si>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</si>
  <si>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</si>
  <si>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</si>
  <si>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</si>
  <si>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</si>
  <si>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</si>
  <si>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</si>
  <si>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</si>
  <si>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</si>
  <si>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</si>
  <si>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</si>
  <si>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</si>
  <si>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</si>
  <si>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</si>
  <si>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</si>
  <si>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</si>
  <si>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</si>
  <si>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</si>
  <si>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</si>
  <si>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</si>
  <si>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</si>
  <si>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</si>
  <si>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</si>
  <si>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</si>
  <si>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</si>
  <si>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</si>
  <si>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</si>
  <si>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</si>
  <si>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</si>
  <si>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</si>
  <si>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</si>
  <si>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</si>
  <si>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</si>
  <si>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</si>
  <si>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</si>
  <si>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</si>
  <si>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</si>
  <si>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</si>
  <si>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</si>
  <si>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</si>
  <si>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</si>
  <si>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</si>
  <si>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</si>
  <si>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</si>
  <si>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</si>
  <si>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</si>
  <si>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</si>
  <si>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</si>
  <si>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</si>
  <si>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</si>
  <si>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</si>
  <si>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</si>
  <si>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</si>
  <si>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</si>
  <si>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</si>
  <si>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</si>
  <si>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</si>
  <si>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</si>
  <si>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</si>
  <si>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</si>
  <si>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</si>
  <si>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</si>
  <si>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</si>
  <si>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</si>
  <si>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</si>
  <si>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</si>
  <si>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</si>
  <si>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</si>
  <si>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</si>
  <si>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</si>
  <si>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</si>
  <si>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</si>
  <si>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</si>
  <si>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</si>
  <si>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</si>
  <si>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</si>
  <si>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</si>
  <si>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</si>
  <si>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</si>
  <si>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</si>
  <si>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</si>
  <si>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</si>
  <si>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</si>
  <si>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</si>
  <si>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</si>
  <si>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</si>
  <si>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</si>
  <si>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</si>
  <si>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</si>
  <si>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</si>
  <si>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</si>
  <si>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</si>
  <si>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</si>
  <si>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</si>
  <si>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</si>
  <si>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</si>
  <si>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</si>
  <si>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</si>
  <si>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</si>
  <si>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</si>
  <si>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</si>
  <si>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</si>
  <si>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</si>
  <si>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</si>
  <si>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</si>
  <si>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</si>
  <si>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</si>
  <si>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</si>
  <si>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</si>
  <si>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</si>
  <si>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</si>
  <si>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</si>
  <si>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</si>
  <si>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</si>
  <si>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</si>
  <si>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</si>
  <si>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</si>
  <si>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</si>
  <si>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</si>
  <si>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</si>
  <si>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</si>
  <si>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</si>
  <si>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</si>
  <si>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</si>
  <si>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</si>
  <si>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</si>
  <si>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</si>
  <si>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</si>
  <si>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</si>
  <si>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</si>
  <si>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</si>
  <si>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</si>
  <si>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</si>
  <si>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</si>
  <si>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</si>
  <si>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</si>
  <si>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</si>
  <si>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</si>
  <si>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</si>
  <si>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</si>
  <si>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</si>
  <si>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</si>
  <si>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</si>
  <si>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</si>
  <si>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</si>
  <si>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</si>
  <si>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</si>
  <si>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</si>
  <si>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</si>
  <si>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</si>
  <si>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</si>
  <si>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</si>
  <si>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</si>
  <si>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</si>
  <si>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</si>
  <si>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</si>
  <si>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</si>
  <si>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</si>
  <si>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</si>
  <si>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</si>
  <si>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</si>
  <si>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</si>
  <si>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</si>
  <si>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</si>
  <si>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</si>
  <si>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</si>
  <si>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</si>
  <si>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</si>
  <si>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</si>
  <si>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</si>
  <si>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</si>
  <si>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</si>
  <si>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</si>
  <si>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</si>
  <si>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</si>
  <si>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</si>
  <si>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</si>
  <si>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</si>
  <si>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</si>
  <si>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</si>
  <si>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</si>
  <si>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</si>
  <si>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</si>
  <si>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</si>
  <si>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</si>
  <si>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</si>
  <si>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</si>
  <si>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</si>
  <si>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</si>
  <si>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</si>
  <si>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</si>
  <si>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</si>
  <si>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</si>
  <si>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</si>
  <si>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</si>
  <si>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</si>
  <si>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</si>
  <si>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</si>
  <si>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</si>
  <si>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</si>
  <si>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</si>
  <si>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</si>
  <si>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</si>
  <si>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</si>
  <si>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</si>
  <si>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</si>
  <si>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</si>
  <si>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</si>
  <si>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</si>
  <si>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</si>
  <si>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</si>
  <si>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</si>
  <si>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</si>
  <si>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</si>
  <si>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</si>
  <si>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</si>
  <si>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</si>
  <si>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</si>
  <si>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</si>
  <si>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</si>
  <si>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</si>
  <si>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</si>
  <si>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</si>
  <si>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</si>
  <si>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</si>
  <si>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</si>
  <si>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</si>
  <si>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</si>
  <si>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</si>
  <si>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</si>
  <si>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</si>
  <si>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</si>
  <si>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</si>
  <si>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</si>
  <si>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</si>
  <si>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</si>
  <si>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</si>
  <si>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</si>
  <si>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</si>
  <si>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</si>
  <si>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</si>
  <si>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</si>
  <si>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</si>
  <si>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</si>
  <si>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</si>
  <si>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</si>
  <si>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</si>
  <si>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</si>
  <si>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</si>
  <si>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</si>
  <si>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</si>
  <si>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</si>
  <si>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</si>
  <si>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</si>
  <si>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</si>
  <si>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</si>
  <si>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</si>
  <si>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</si>
  <si>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</si>
  <si>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</si>
  <si>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</si>
  <si>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</si>
  <si>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</si>
  <si>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</si>
  <si>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</si>
  <si>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</si>
  <si>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</si>
  <si>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</si>
  <si>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</si>
  <si>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</si>
  <si>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</si>
  <si>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</si>
  <si>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</si>
  <si>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</si>
  <si>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</si>
  <si>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</si>
  <si>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</si>
  <si>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</si>
  <si>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</si>
  <si>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</si>
  <si>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</si>
  <si>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</si>
  <si>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</si>
  <si>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</si>
  <si>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</si>
  <si>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</si>
  <si>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</si>
  <si>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</si>
  <si>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</si>
  <si>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</si>
  <si>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</si>
  <si>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</si>
  <si>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</si>
  <si>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</si>
  <si>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</si>
  <si>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</si>
  <si>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</si>
  <si>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</si>
  <si>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</si>
  <si>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</si>
  <si>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</si>
  <si>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</si>
  <si>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</si>
  <si>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</si>
  <si>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</si>
  <si>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</si>
  <si>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</si>
  <si>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</si>
  <si>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</si>
  <si>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</si>
  <si>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</si>
  <si>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</si>
  <si>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</si>
  <si>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</si>
  <si>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</si>
  <si>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</si>
  <si>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</si>
  <si>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</si>
  <si>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</si>
  <si>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</si>
  <si>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</si>
  <si>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</si>
  <si>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</si>
  <si>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</si>
  <si>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</si>
  <si>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</si>
  <si>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</si>
  <si>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</si>
  <si>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</si>
  <si>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</si>
  <si>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</si>
  <si>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</si>
  <si>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</si>
  <si>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</si>
  <si>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</si>
  <si>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</si>
  <si>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</si>
  <si>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</si>
  <si>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</si>
  <si>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</si>
  <si>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</si>
  <si>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</si>
  <si>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</si>
  <si>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</si>
  <si>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</si>
  <si>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</si>
  <si>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</si>
  <si>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</si>
  <si>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</si>
  <si>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</si>
  <si>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</si>
  <si>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</si>
  <si>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</si>
  <si>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</si>
  <si>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</si>
  <si>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</si>
  <si>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</si>
  <si>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</si>
  <si>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</si>
  <si>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</si>
  <si>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</si>
  <si>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</si>
  <si>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</si>
  <si>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</si>
  <si>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</si>
  <si>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</si>
  <si>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</si>
  <si>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</si>
  <si>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</si>
  <si>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</si>
  <si>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</si>
  <si>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</si>
  <si>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</si>
  <si>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</si>
  <si>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</si>
  <si>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</si>
  <si>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</si>
  <si>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</si>
  <si>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</si>
  <si>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</si>
  <si>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</si>
  <si>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</si>
  <si>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</si>
  <si>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</si>
  <si>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</si>
  <si>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</si>
  <si>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</si>
  <si>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</si>
  <si>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</si>
  <si>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</si>
  <si>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</si>
  <si>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</si>
  <si>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</si>
  <si>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</si>
  <si>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</si>
  <si>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</si>
  <si>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</si>
  <si>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</si>
  <si>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</si>
  <si>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</si>
  <si>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</si>
  <si>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</si>
  <si>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</si>
  <si>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</si>
  <si>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</si>
  <si>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</si>
  <si>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</si>
  <si>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</si>
  <si>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</si>
  <si>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</si>
  <si>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</si>
  <si>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</si>
  <si>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</si>
  <si>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</si>
  <si>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</si>
  <si>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</si>
  <si>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</si>
  <si>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</si>
  <si>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</si>
  <si>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</si>
  <si>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</si>
  <si>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</si>
  <si>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</si>
  <si>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</si>
  <si>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</si>
  <si>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</si>
  <si>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</si>
  <si>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</si>
  <si>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</si>
  <si>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</si>
  <si>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</si>
  <si>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</si>
  <si>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</si>
  <si>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</si>
  <si>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</si>
  <si>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</si>
  <si>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</si>
  <si>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</si>
  <si>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</si>
  <si>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</si>
  <si>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</si>
  <si>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</si>
  <si>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</si>
  <si>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</si>
  <si>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</si>
  <si>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</si>
  <si>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</si>
  <si>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</si>
  <si>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</si>
  <si>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</si>
  <si>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</si>
  <si>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</si>
  <si>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</si>
  <si>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</si>
  <si>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</si>
  <si>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</si>
  <si>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</si>
  <si>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</si>
  <si>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</si>
  <si>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</si>
  <si>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</si>
  <si>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</si>
  <si>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</si>
  <si>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</si>
  <si>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</si>
  <si>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</si>
  <si>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</si>
  <si>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</si>
  <si>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</si>
  <si>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</si>
  <si>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</si>
  <si>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</si>
  <si>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</si>
  <si>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</si>
  <si>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</si>
  <si>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</si>
  <si>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</si>
  <si>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</si>
  <si>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</si>
  <si>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</si>
  <si>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</si>
  <si>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</si>
  <si>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</si>
  <si>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</si>
  <si>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</si>
  <si>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</si>
  <si>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</si>
  <si>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</si>
  <si>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</si>
  <si>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</si>
  <si>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</si>
  <si>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</si>
  <si>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</si>
  <si>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</si>
  <si>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</si>
  <si>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</si>
  <si>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</si>
  <si>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</si>
  <si>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</si>
  <si>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</si>
  <si>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</si>
  <si>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</si>
  <si>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</si>
  <si>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</si>
  <si>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</si>
  <si>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</si>
  <si>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</si>
  <si>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</si>
  <si>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</si>
  <si>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</si>
  <si>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</si>
  <si>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</si>
  <si>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</si>
  <si>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</si>
  <si>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</si>
  <si>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</si>
  <si>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</si>
  <si>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</si>
  <si>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</si>
  <si>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</si>
  <si>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</si>
  <si>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</si>
  <si>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</si>
  <si>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</si>
  <si>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</si>
  <si>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</si>
  <si>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</si>
  <si>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</si>
  <si>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</si>
  <si>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</si>
  <si>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</si>
  <si>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</si>
  <si>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</si>
  <si>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</si>
  <si>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</si>
  <si>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</si>
  <si>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</si>
  <si>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</si>
  <si>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</si>
  <si>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</si>
  <si>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</si>
  <si>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</si>
  <si>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</si>
  <si>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</si>
  <si>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</si>
  <si>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</si>
  <si>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</si>
  <si>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</si>
  <si>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</si>
  <si>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</si>
  <si>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</si>
  <si>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</si>
  <si>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</si>
  <si>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</si>
  <si>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</si>
  <si>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</si>
  <si>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</si>
  <si>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</si>
  <si>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</si>
  <si>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</si>
  <si>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</si>
  <si>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</si>
  <si>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</si>
  <si>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</si>
  <si>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</si>
  <si>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</si>
  <si>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</si>
  <si>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</si>
  <si>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</si>
  <si>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</si>
  <si>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</si>
  <si>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</si>
  <si>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</si>
  <si>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</si>
  <si>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</si>
  <si>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</si>
  <si>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</si>
  <si>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</si>
  <si>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</si>
  <si>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</si>
  <si>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</si>
  <si>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</si>
  <si>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</si>
  <si>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</si>
  <si>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</si>
  <si>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</si>
  <si>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</si>
  <si>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</si>
  <si>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</si>
  <si>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</si>
  <si>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</si>
  <si>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</si>
  <si>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</si>
  <si>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</si>
  <si>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</si>
  <si>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</si>
  <si>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</si>
  <si>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</si>
  <si>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</si>
  <si>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</si>
  <si>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</si>
  <si>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</si>
  <si>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</si>
  <si>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</si>
  <si>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</si>
  <si>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</si>
  <si>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</si>
  <si>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</si>
  <si>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</si>
  <si>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</si>
  <si>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</si>
  <si>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</si>
  <si>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</si>
  <si>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</si>
  <si>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</si>
  <si>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</si>
  <si>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</si>
  <si>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</si>
  <si>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</si>
  <si>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</si>
  <si>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</si>
  <si>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</si>
  <si>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</si>
  <si>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</si>
  <si>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</si>
  <si>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</si>
  <si>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</si>
  <si>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</si>
  <si>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</si>
  <si>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</si>
  <si>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</si>
  <si>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</si>
  <si>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</si>
  <si>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</si>
  <si>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</si>
  <si>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</si>
  <si>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</si>
  <si>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</si>
  <si>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</si>
  <si>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</si>
  <si>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</si>
  <si>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</si>
  <si>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</si>
  <si>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</si>
  <si>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</si>
  <si>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</si>
  <si>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</si>
  <si>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</si>
  <si>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</si>
  <si>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</si>
  <si>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</si>
  <si>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</si>
  <si>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</si>
  <si>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</si>
  <si>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</si>
  <si>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</si>
  <si>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</si>
  <si>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</si>
  <si>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</si>
  <si>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</si>
  <si>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</si>
  <si>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</si>
  <si>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</si>
  <si>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</si>
  <si>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</si>
  <si>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</si>
  <si>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</si>
  <si>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</si>
  <si>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</si>
  <si>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</si>
  <si>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</si>
  <si>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</si>
  <si>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</si>
  <si>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</si>
  <si>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</si>
  <si>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</si>
  <si>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</si>
  <si>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</si>
  <si>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</si>
  <si>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</si>
  <si>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</si>
  <si>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</si>
  <si>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</si>
  <si>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</si>
  <si>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</si>
  <si>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</si>
  <si>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</si>
  <si>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</si>
  <si>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</si>
  <si>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</si>
  <si>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</si>
  <si>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</si>
  <si>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</si>
  <si>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</si>
  <si>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</si>
  <si>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</si>
  <si>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</si>
  <si>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</si>
  <si>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</si>
  <si>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</si>
  <si>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</si>
  <si>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</si>
  <si>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</si>
  <si>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</si>
  <si>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</si>
  <si>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</si>
  <si>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</si>
  <si>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</si>
  <si>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</si>
  <si>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</si>
  <si>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</si>
  <si>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</si>
  <si>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</si>
  <si>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</si>
  <si>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</si>
  <si>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</si>
  <si>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</si>
  <si>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</si>
  <si>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</si>
  <si>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</si>
  <si>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</si>
  <si>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</si>
  <si>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</si>
  <si>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</si>
  <si>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</si>
  <si>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</si>
  <si>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</si>
  <si>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</si>
  <si>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</si>
  <si>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</si>
  <si>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</si>
  <si>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</si>
  <si>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</si>
  <si>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</si>
  <si>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</si>
  <si>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</si>
  <si>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</si>
  <si>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</si>
  <si>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</si>
  <si>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</si>
  <si>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</si>
  <si>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</si>
  <si>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</si>
  <si>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</si>
  <si>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</si>
  <si>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</si>
  <si>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</si>
  <si>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</si>
  <si>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</si>
  <si>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</si>
  <si>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</si>
  <si>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</si>
  <si>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</si>
  <si>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</si>
  <si>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</si>
  <si>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</si>
  <si>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</si>
  <si>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</si>
  <si>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</si>
  <si>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</si>
  <si>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</si>
  <si>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</si>
  <si>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</si>
  <si>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</si>
  <si>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</si>
  <si>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</si>
  <si>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</si>
  <si>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</si>
  <si>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</si>
  <si>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</si>
  <si>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</si>
  <si>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</si>
  <si>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</si>
  <si>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</si>
  <si>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</si>
  <si>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</si>
  <si>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</si>
  <si>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</si>
  <si>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</si>
  <si>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</si>
  <si>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</si>
  <si>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</si>
  <si>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</si>
  <si>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</si>
  <si>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</si>
  <si>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</si>
  <si>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</si>
  <si>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</si>
  <si>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</si>
  <si>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</si>
  <si>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</si>
  <si>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</si>
  <si>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</si>
  <si>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</si>
  <si>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</si>
  <si>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</si>
  <si>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</si>
  <si>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</si>
  <si>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</si>
  <si>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</si>
  <si>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</si>
  <si>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</si>
  <si>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</si>
  <si>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</si>
  <si>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</si>
  <si>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</si>
  <si>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</si>
  <si>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</si>
  <si>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</si>
  <si>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</si>
  <si>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</si>
  <si>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</si>
  <si>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</si>
  <si>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</si>
  <si>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</si>
  <si>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</si>
  <si>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</si>
  <si>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</si>
  <si>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</si>
  <si>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</si>
  <si>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</si>
  <si>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</si>
  <si>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</si>
  <si>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</si>
  <si>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</si>
  <si>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</si>
  <si>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</si>
  <si>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</si>
  <si>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</si>
  <si>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</si>
  <si>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</si>
  <si>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</si>
  <si>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</si>
  <si>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</si>
  <si>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</si>
  <si>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</si>
  <si>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</si>
  <si>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</si>
  <si>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</si>
  <si>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</si>
  <si>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</si>
  <si>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</si>
  <si>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</si>
  <si>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</si>
  <si>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</si>
  <si>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</si>
  <si>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</si>
  <si>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</si>
  <si>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</si>
  <si>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</si>
  <si>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</si>
  <si>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</si>
  <si>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</si>
  <si>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</si>
  <si>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</si>
  <si>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</si>
  <si>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</si>
  <si>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</si>
  <si>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</si>
  <si>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</si>
  <si>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</si>
  <si>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</si>
  <si>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</si>
  <si>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</si>
  <si>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</si>
  <si>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</si>
  <si>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</si>
  <si>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</si>
  <si>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</si>
  <si>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</si>
  <si>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</si>
  <si>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</si>
  <si>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</si>
  <si>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</si>
  <si>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</si>
  <si>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</si>
  <si>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</si>
  <si>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</si>
  <si>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</si>
  <si>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</si>
  <si>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</si>
  <si>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</si>
  <si>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</si>
  <si>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</si>
  <si>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</si>
  <si>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</si>
  <si>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</si>
  <si>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</si>
  <si>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</si>
  <si>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</si>
  <si>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</si>
  <si>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</si>
  <si>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</si>
  <si>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</si>
  <si>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</si>
  <si>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</si>
  <si>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</si>
  <si>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</si>
  <si>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</si>
  <si>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</si>
  <si>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</si>
  <si>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</si>
  <si>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</si>
  <si>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</si>
  <si>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</si>
  <si>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</si>
  <si>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</si>
  <si>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</si>
  <si>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</si>
  <si>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</si>
  <si>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</si>
  <si>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</si>
  <si>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</si>
  <si>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</si>
  <si>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</si>
  <si>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</si>
  <si>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</si>
  <si>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</si>
  <si>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</si>
  <si>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</si>
  <si>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</si>
  <si>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</si>
  <si>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</si>
  <si>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</si>
  <si>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</si>
  <si>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</si>
  <si>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</si>
  <si>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</si>
  <si>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</si>
  <si>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</si>
  <si>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</si>
  <si>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</si>
  <si>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</si>
  <si>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</si>
  <si>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</si>
  <si>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</si>
  <si>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</si>
  <si>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</si>
  <si>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</si>
  <si>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</si>
  <si>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</si>
  <si>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</si>
  <si>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</si>
  <si>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</si>
  <si>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</si>
  <si>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</si>
  <si>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</si>
  <si>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</si>
  <si>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</si>
  <si>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</si>
  <si>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</si>
  <si>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</si>
  <si>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</si>
  <si>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</si>
  <si>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</si>
  <si>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</si>
  <si>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</si>
  <si>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</si>
  <si>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</si>
  <si>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</si>
  <si>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</si>
  <si>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</si>
  <si>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</si>
  <si>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</si>
  <si>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</si>
  <si>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</si>
  <si>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</si>
  <si>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</si>
  <si>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</si>
  <si>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</si>
  <si>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</si>
  <si>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</si>
  <si>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</si>
  <si>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</si>
  <si>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</si>
  <si>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</si>
  <si>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</si>
  <si>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</si>
  <si>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</si>
  <si>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</si>
  <si>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</si>
  <si>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</si>
  <si>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</si>
  <si>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</si>
  <si>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</si>
  <si>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</si>
  <si>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</si>
  <si>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</si>
  <si>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</si>
  <si>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</si>
  <si>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</si>
  <si>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</si>
  <si>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</si>
  <si>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</si>
  <si>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</si>
  <si>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</si>
  <si>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</si>
  <si>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</si>
  <si>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</si>
  <si>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</si>
  <si>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</si>
  <si>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</si>
  <si>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</si>
  <si>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</si>
  <si>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</si>
  <si>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</si>
  <si>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</si>
  <si>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</si>
  <si>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</si>
  <si>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</si>
  <si>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</si>
  <si>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</si>
  <si>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</si>
  <si>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</si>
  <si>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</si>
  <si>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</si>
  <si>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</si>
  <si>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</si>
  <si>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</si>
  <si>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</si>
  <si>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</si>
  <si>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</si>
  <si>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</si>
  <si>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</si>
  <si>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</si>
  <si>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</si>
  <si>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</si>
  <si>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</si>
  <si>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</si>
  <si>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</si>
  <si>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</si>
  <si>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</si>
  <si>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</si>
  <si>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</si>
  <si>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</si>
  <si>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</si>
  <si>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</si>
  <si>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</si>
  <si>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</si>
  <si>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</si>
  <si>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</si>
  <si>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</si>
  <si>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</si>
  <si>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</si>
  <si>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</si>
  <si>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</si>
  <si>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</si>
  <si>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</si>
  <si>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</si>
  <si>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</si>
  <si>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</si>
  <si>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</si>
  <si>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</si>
  <si>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</si>
  <si>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</si>
  <si>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</si>
  <si>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</si>
  <si>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</si>
  <si>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</si>
  <si>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</si>
  <si>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</si>
  <si>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</si>
  <si>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</si>
  <si>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</si>
  <si>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</si>
  <si>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</si>
  <si>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</si>
  <si>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</si>
  <si>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</si>
  <si>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</si>
  <si>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</si>
  <si>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</si>
  <si>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</si>
  <si>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</si>
  <si>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</si>
  <si>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</si>
  <si>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</si>
  <si>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</si>
  <si>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</si>
  <si>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</si>
  <si>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</si>
  <si>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</si>
  <si>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</si>
  <si>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</si>
  <si>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</si>
  <si>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</si>
  <si>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</si>
  <si>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</si>
  <si>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</si>
  <si>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</si>
  <si>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</si>
  <si>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</si>
  <si>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</si>
  <si>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</si>
  <si>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</si>
  <si>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</si>
  <si>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</si>
  <si>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</si>
  <si>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</si>
  <si>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</si>
  <si>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</si>
  <si>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</si>
  <si>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</si>
  <si>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</si>
  <si>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</si>
  <si>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</si>
  <si>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</si>
  <si>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</si>
  <si>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</si>
  <si>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</si>
  <si>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</si>
  <si>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</si>
  <si>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</si>
  <si>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</si>
  <si>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</si>
  <si>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</si>
  <si>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</si>
  <si>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</si>
  <si>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</si>
  <si>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</si>
  <si>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</si>
  <si>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</si>
  <si>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</si>
  <si>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</si>
  <si>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</si>
  <si>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</si>
  <si>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</si>
  <si>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</si>
  <si>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</si>
  <si>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</si>
  <si>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</si>
  <si>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</si>
  <si>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</si>
  <si>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</si>
  <si>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</si>
  <si>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</si>
  <si>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</si>
  <si>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</si>
  <si>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</si>
  <si>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</si>
  <si>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</si>
  <si>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</si>
  <si>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</si>
  <si>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</si>
  <si>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</si>
  <si>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</si>
  <si>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</si>
  <si>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</si>
  <si>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</si>
  <si>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</si>
  <si>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</si>
  <si>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</si>
  <si>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</si>
  <si>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</si>
  <si>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</si>
  <si>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</si>
  <si>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</si>
  <si>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</si>
  <si>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</si>
  <si>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</si>
  <si>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</si>
  <si>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</si>
  <si>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</si>
  <si>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</si>
  <si>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</si>
  <si>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</si>
  <si>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</si>
  <si>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</si>
  <si>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</si>
  <si>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</si>
  <si>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</si>
  <si>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</si>
  <si>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</si>
  <si>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</si>
  <si>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</si>
  <si>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</si>
  <si>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</si>
  <si>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</si>
  <si>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</si>
  <si>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</si>
  <si>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</si>
  <si>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</si>
  <si>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</si>
  <si>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</si>
  <si>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</si>
  <si>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</si>
  <si>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</si>
  <si>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</si>
  <si>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</si>
  <si>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</si>
  <si>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</si>
  <si>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</si>
  <si>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</si>
  <si>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</si>
  <si>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</si>
  <si>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</si>
  <si>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</si>
  <si>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</si>
  <si>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</si>
  <si>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</si>
  <si>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</si>
  <si>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</si>
  <si>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</si>
  <si>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</si>
  <si>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</si>
  <si>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</si>
  <si>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</si>
  <si>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</si>
  <si>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</si>
  <si>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</si>
  <si>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</si>
  <si>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</si>
  <si>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</si>
  <si>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</si>
  <si>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</si>
  <si>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</si>
  <si>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</si>
  <si>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</si>
  <si>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</si>
  <si>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</si>
  <si>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</si>
  <si>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</si>
  <si>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</si>
  <si>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</si>
  <si>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</si>
  <si>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</si>
  <si>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</si>
  <si>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</si>
  <si>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</si>
  <si>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</si>
  <si>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</si>
  <si>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</si>
  <si>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</si>
  <si>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</si>
  <si>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</si>
  <si>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</si>
  <si>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</si>
  <si>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</si>
  <si>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</si>
  <si>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</si>
  <si>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</si>
  <si>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</si>
  <si>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</si>
  <si>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</si>
  <si>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</si>
  <si>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</si>
  <si>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</si>
  <si>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</si>
  <si>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</si>
  <si>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</si>
  <si>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</si>
  <si>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</si>
  <si>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</si>
  <si>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</si>
  <si>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</si>
  <si>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</si>
  <si>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</si>
  <si>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</si>
  <si>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</si>
  <si>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</si>
  <si>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</si>
  <si>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</si>
  <si>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</si>
  <si>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</si>
  <si>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</si>
  <si>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</si>
  <si>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</si>
  <si>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</si>
  <si>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</si>
  <si>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</si>
  <si>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</si>
  <si>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</si>
  <si>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</si>
  <si>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</si>
  <si>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</si>
  <si>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</si>
  <si>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</si>
  <si>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</si>
  <si>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</si>
  <si>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</si>
  <si>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</si>
  <si>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</si>
  <si>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</si>
  <si>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</si>
  <si>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</si>
  <si>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</si>
  <si>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</si>
  <si>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</si>
  <si>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</si>
  <si>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</si>
  <si>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</si>
  <si>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</si>
  <si>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</si>
  <si>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</si>
  <si>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</si>
  <si>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</si>
  <si>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</si>
  <si>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</si>
  <si>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</si>
  <si>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</si>
  <si>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</si>
  <si>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</si>
  <si>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</si>
  <si>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</si>
  <si>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</si>
  <si>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</si>
  <si>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</si>
  <si>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</si>
  <si>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</si>
  <si>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</si>
  <si>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</si>
  <si>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</si>
  <si>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</si>
  <si>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</si>
  <si>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</si>
  <si>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</si>
  <si>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</si>
  <si>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</si>
  <si>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</si>
  <si>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</si>
  <si>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</si>
  <si>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</si>
  <si>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</si>
  <si>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</si>
  <si>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</si>
  <si>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</si>
  <si>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</si>
  <si>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</si>
  <si>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</si>
  <si>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</si>
  <si>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</si>
  <si>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</si>
  <si>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</si>
  <si>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</si>
  <si>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</si>
  <si>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</si>
  <si>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</si>
  <si>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</si>
  <si>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</si>
  <si>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</si>
  <si>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</si>
  <si>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</si>
  <si>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</si>
  <si>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</si>
  <si>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</si>
  <si>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</si>
  <si>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</si>
  <si>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</si>
  <si>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</si>
  <si>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</si>
  <si>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</si>
  <si>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</si>
  <si>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</si>
  <si>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</si>
  <si>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</si>
  <si>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</si>
  <si>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</si>
  <si>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</si>
  <si>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</si>
  <si>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</si>
  <si>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</si>
  <si>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</si>
  <si>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</si>
  <si>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</si>
  <si>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</si>
  <si>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</si>
  <si>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</si>
  <si>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</si>
  <si>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</si>
  <si>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</si>
  <si>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</si>
  <si>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</si>
  <si>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</si>
  <si>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</si>
  <si>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</si>
  <si>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</si>
  <si>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</si>
  <si>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</si>
  <si>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</si>
  <si>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</si>
  <si>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</si>
  <si>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</si>
  <si>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</si>
  <si>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</si>
  <si>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</si>
  <si>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</si>
  <si>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</si>
  <si>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</si>
  <si>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</si>
  <si>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</si>
  <si>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</si>
  <si>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</si>
  <si>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</si>
  <si>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</si>
  <si>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</si>
  <si>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</si>
  <si>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</si>
  <si>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</si>
  <si>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</si>
  <si>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</si>
  <si>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</si>
  <si>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</si>
  <si>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</si>
  <si>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</si>
  <si>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</si>
  <si>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</si>
  <si>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</si>
  <si>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</si>
  <si>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</si>
  <si>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</si>
  <si>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</si>
  <si>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</si>
  <si>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</si>
  <si>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</si>
  <si>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</si>
  <si>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</si>
  <si>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</si>
  <si>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</si>
  <si>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</si>
  <si>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</si>
  <si>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</si>
  <si>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</si>
  <si>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</si>
  <si>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</si>
  <si>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</si>
  <si>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</si>
  <si>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</si>
  <si>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</si>
  <si>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</si>
  <si>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</si>
  <si>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</si>
  <si>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</si>
  <si>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</si>
  <si>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</si>
  <si>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</si>
  <si>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</si>
  <si>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</si>
  <si>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</si>
  <si>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</si>
  <si>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</si>
  <si>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</si>
  <si>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</si>
  <si>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</si>
  <si>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</si>
  <si>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</si>
  <si>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</si>
  <si>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</si>
  <si>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</si>
  <si>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</si>
  <si>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</si>
  <si>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</si>
  <si>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</si>
  <si>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</si>
  <si>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</si>
  <si>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</si>
  <si>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</si>
  <si>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</si>
  <si>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</si>
  <si>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</si>
  <si>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</si>
  <si>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</si>
  <si>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</si>
  <si>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</si>
  <si>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</si>
  <si>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</si>
  <si>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</si>
  <si>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</si>
  <si>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</si>
  <si>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</si>
  <si>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</si>
  <si>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</si>
  <si>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</si>
  <si>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</si>
  <si>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</si>
  <si>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</si>
  <si>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</si>
  <si>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</si>
  <si>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</si>
  <si>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</si>
  <si>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</si>
  <si>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</si>
  <si>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</si>
  <si>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</si>
  <si>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</si>
  <si>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</si>
  <si>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</si>
  <si>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</si>
  <si>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</si>
  <si>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</si>
  <si>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</si>
  <si>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</si>
  <si>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</si>
  <si>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</si>
  <si>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</si>
  <si>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</si>
  <si>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</si>
  <si>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</si>
  <si>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</si>
  <si>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</si>
  <si>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</si>
  <si>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</si>
  <si>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</si>
  <si>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</si>
  <si>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</si>
  <si>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</si>
  <si>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</si>
  <si>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</si>
  <si>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</si>
  <si>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</si>
  <si>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</si>
  <si>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</si>
  <si>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</si>
  <si>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</si>
  <si>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</si>
  <si>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</si>
  <si>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</si>
  <si>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</si>
  <si>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</si>
  <si>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</si>
  <si>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</si>
  <si>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</si>
  <si>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</si>
  <si>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</si>
  <si>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</si>
  <si>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</si>
  <si>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</si>
  <si>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</si>
  <si>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</si>
  <si>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</si>
  <si>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</si>
  <si>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</si>
  <si>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</si>
  <si>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</si>
  <si>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</si>
  <si>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</si>
  <si>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</si>
  <si>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</si>
  <si>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</si>
  <si>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</si>
  <si>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</si>
  <si>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</si>
  <si>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</si>
  <si>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</si>
  <si>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</si>
  <si>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</si>
  <si>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</si>
  <si>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</si>
  <si>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</si>
  <si>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</si>
  <si>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</si>
  <si>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</si>
  <si>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</si>
  <si>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</si>
  <si>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</si>
  <si>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</si>
  <si>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</si>
  <si>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</si>
  <si>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</si>
  <si>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</si>
  <si>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</si>
  <si>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</si>
  <si>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</si>
  <si>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</si>
  <si>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</si>
  <si>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</si>
  <si>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</si>
  <si>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</si>
  <si>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</si>
  <si>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</si>
  <si>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</si>
  <si>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</si>
  <si>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</si>
  <si>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</si>
  <si>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</si>
  <si>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</si>
  <si>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</si>
  <si>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</si>
  <si>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</si>
  <si>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</si>
  <si>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</si>
  <si>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</si>
  <si>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</si>
  <si>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</si>
  <si>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</si>
  <si>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</si>
  <si>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</si>
  <si>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</si>
  <si>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</si>
  <si>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</si>
  <si>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</si>
  <si>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</si>
  <si>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</si>
  <si>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</si>
  <si>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</si>
  <si>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</si>
  <si>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</si>
  <si>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</si>
  <si>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</si>
  <si>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</si>
  <si>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</si>
  <si>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</si>
  <si>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</si>
  <si>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</si>
  <si>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</si>
  <si>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</si>
  <si>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</si>
  <si>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</si>
  <si>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</si>
  <si>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</si>
  <si>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</si>
  <si>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</si>
  <si>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</si>
  <si>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</si>
  <si>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</si>
  <si>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</si>
  <si>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</si>
  <si>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</si>
  <si>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</si>
  <si>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</si>
  <si>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</si>
  <si>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</si>
  <si>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</si>
  <si>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</si>
  <si>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</si>
  <si>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</si>
  <si>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</si>
  <si>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</si>
  <si>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</si>
  <si>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</si>
  <si>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</si>
  <si>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</si>
  <si>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</si>
  <si>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</si>
  <si>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</si>
  <si>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</si>
  <si>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</si>
  <si>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</si>
  <si>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</si>
  <si>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</si>
  <si>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</si>
  <si>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</si>
  <si>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</si>
  <si>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</si>
  <si>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</si>
  <si>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</si>
  <si>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</si>
  <si>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</si>
  <si>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</si>
  <si>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</si>
  <si>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</si>
  <si>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</si>
  <si>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</si>
  <si>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</si>
  <si>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</si>
  <si>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</si>
  <si>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</si>
  <si>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</si>
  <si>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</si>
  <si>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</si>
  <si>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</si>
  <si>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</si>
  <si>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</si>
  <si>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</si>
  <si>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</si>
  <si>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</si>
  <si>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</si>
  <si>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</si>
  <si>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</si>
  <si>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</si>
  <si>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</si>
  <si>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</si>
  <si>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</si>
  <si>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</si>
  <si>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</si>
  <si>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</si>
  <si>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</si>
  <si>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</si>
  <si>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</si>
  <si>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</si>
  <si>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</si>
  <si>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</si>
  <si>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</si>
  <si>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</si>
  <si>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</si>
  <si>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</si>
  <si>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</si>
  <si>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</si>
  <si>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</si>
  <si>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</si>
  <si>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</si>
  <si>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</si>
  <si>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</si>
  <si>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</si>
  <si>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</si>
  <si>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</si>
  <si>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</si>
  <si>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</si>
  <si>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</si>
  <si>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</si>
  <si>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</si>
  <si>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</si>
  <si>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</si>
  <si>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</si>
  <si>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</si>
  <si>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</si>
  <si>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</si>
  <si>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</si>
  <si>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</si>
  <si>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</si>
  <si>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</si>
  <si>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</si>
  <si>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</si>
  <si>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</si>
  <si>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</si>
  <si>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</si>
  <si>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</si>
  <si>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</si>
  <si>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</si>
  <si>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</si>
  <si>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</si>
  <si>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</si>
  <si>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</si>
  <si>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</si>
  <si>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</si>
  <si>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t>
  </si>
  <si>
    <t>11</t>
  </si>
  <si>
    <t>12</t>
  </si>
  <si>
    <t>13</t>
  </si>
  <si>
    <t>14</t>
  </si>
  <si>
    <t>15</t>
  </si>
  <si>
    <t>16</t>
  </si>
  <si>
    <t>17</t>
  </si>
  <si>
    <t>18</t>
  </si>
  <si>
    <t>19</t>
  </si>
  <si>
    <t>20</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</si>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</sst>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14009]yyyy/mm/dd;@"/>
    <numFmt numFmtId="165" formatCode="_ * #,##0_ ;_ * \-#,##0_ ;_ * &quot;-&quot;??_ ;_ @_ "/>
    <numFmt numFmtId="166" formatCode="_ [$₹-4009]\ * #,##0.00_ ;_ [$₹-4009]\ * \-#,##0.00_ ;_ [$₹-4009]\ * &quot;-&quot;??_ ;_ @_ "/>
    <numFmt numFmtId="167" formatCode="0.0"/>
  </numFmts>
  <fonts count="4" x14ac:knownFonts="1">
    <font>
      <sz val="10"/>
      <color rgb="FF000000"/>
      <name val="Arial"/>
      <scheme val="minor"/>
    </font>
    <font>
      <sz val="10"/>
      <color theme="1"/>
      <name val="Arial"/>
      <scheme val="minor"/>
    </font>
    <font>
      <sz val="10"/>
      <color rgb="FF000000"/>
      <name val="Arial"/>
      <scheme val="minor"/>
    </font>
    <font>
      <b/>
      <sz val="11"/>
      <color rgb="FF000000"/>
      <name val="Arial"/>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2" fillId="0" borderId="0" applyFont="0" applyFill="0" applyBorder="0" applyAlignment="0" applyProtection="0"/>
  </cellStyleXfs>
  <cellXfs count="23">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1" applyNumberFormat="1" applyFont="1"/>
    <xf numFmtId="166" fontId="0" fillId="0" borderId="0" xfId="0" applyNumberFormat="1"/>
    <xf numFmtId="167" fontId="0" fillId="0" borderId="0" xfId="0" applyNumberFormat="1"/>
    <xf numFmtId="0" fontId="3"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cellXfs>
  <cellStyles count="2">
    <cellStyle name="Comma" xfId="1" builtinId="3"/>
    <cellStyle name="Normal" xfId="0" builtinId="0"/>
  </cellStyles>
  <dxfs count="31">
    <dxf>
      <fill>
        <patternFill>
          <bgColor theme="6" tint="0.59996337778862885"/>
        </patternFill>
      </fill>
    </dxf>
    <dxf>
      <fill>
        <patternFill>
          <bgColor theme="3"/>
        </patternFill>
      </fill>
    </dxf>
    <dxf>
      <font>
        <b/>
        <sz val="11"/>
        <color theme="1"/>
      </font>
      <fill>
        <patternFill>
          <bgColor theme="3" tint="0.499984740745262"/>
        </patternFill>
      </fill>
    </dxf>
    <dxf>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6" formatCode="hh:mm:ss"/>
    </dxf>
    <dxf>
      <font>
        <b val="0"/>
        <i val="0"/>
        <strike val="0"/>
        <condense val="0"/>
        <extend val="0"/>
        <outline val="0"/>
        <shadow val="0"/>
        <u val="none"/>
        <vertAlign val="baseline"/>
        <sz val="10"/>
        <color theme="1"/>
        <name val="Arial"/>
        <scheme val="minor"/>
      </font>
      <numFmt numFmtId="164" formatCode="[$-14009]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z val="11"/>
        <color theme="1"/>
      </font>
      <fill>
        <patternFill>
          <bgColor theme="1"/>
        </patternFill>
      </fill>
      <border>
        <left style="thin">
          <color theme="6"/>
        </left>
        <right style="thin">
          <color theme="6"/>
        </right>
        <top style="thin">
          <color theme="6"/>
        </top>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1"/>
        <color theme="1"/>
      </font>
      <border>
        <bottom style="thin">
          <color theme="6"/>
        </bottom>
        <vertical/>
        <horizontal/>
      </border>
    </dxf>
    <dxf>
      <font>
        <b/>
        <i val="0"/>
        <sz val="11"/>
        <color theme="1"/>
      </font>
      <border>
        <left style="thin">
          <color theme="6"/>
        </left>
        <right style="thin">
          <color theme="6"/>
        </right>
        <top style="thin">
          <color theme="6"/>
        </top>
        <bottom style="thin">
          <color theme="6"/>
        </bottom>
        <vertical/>
        <horizontal/>
      </border>
    </dxf>
  </dxfs>
  <tableStyles count="6" defaultTableStyle="TableStyleMedium2" defaultPivotStyle="PivotStyleLight16">
    <tableStyle name="Slicer Style 1" pivot="0" table="0" count="10" xr9:uid="{E9739235-352E-4CC8-A803-E51A2473A7D8}">
      <tableStyleElement type="wholeTable" dxfId="1"/>
      <tableStyleElement type="headerRow" dxfId="0"/>
    </tableStyle>
    <tableStyle name="SlicerStyleDark3 2" pivot="0" table="0" count="10" xr9:uid="{DD4E7725-B737-4C2A-B379-43E777062BD7}">
      <tableStyleElement type="wholeTable" dxfId="30"/>
      <tableStyleElement type="headerRow" dxfId="29"/>
    </tableStyle>
    <tableStyle name="SlicerStyleDark3 3" pivot="0" table="0" count="10" xr9:uid="{363FEABF-39F2-41E4-94A9-4D2BE27CBE1C}">
      <tableStyleElement type="wholeTable" dxfId="28"/>
      <tableStyleElement type="headerRow" dxfId="27"/>
    </tableStyle>
    <tableStyle name="Timeline Style 1" pivot="0" table="0" count="8" xr9:uid="{7ECCE6FD-74AF-4513-B2C4-7929281FDE6B}">
      <tableStyleElement type="wholeTable" dxfId="7"/>
      <tableStyleElement type="headerRow" dxfId="6"/>
    </tableStyle>
    <tableStyle name="Timeline Style 2" pivot="0" table="0" count="8" xr9:uid="{71FCF07B-2B7C-4826-BCEA-6FC9AAD3A1B2}">
      <tableStyleElement type="wholeTable" dxfId="5"/>
      <tableStyleElement type="headerRow" dxfId="4"/>
    </tableStyle>
    <tableStyle name="Timeline Style 3" pivot="0" table="0" count="9" xr9:uid="{97C1176A-DD8B-404F-ABBB-01326AAB8FE1}">
      <tableStyleElement type="wholeTable" dxfId="3"/>
      <tableStyleElement type="headerRow" dxfId="2"/>
    </tableStyle>
  </tableStyles>
  <extLst>
    <ext xmlns:x14="http://schemas.microsoft.com/office/spreadsheetml/2009/9/main" uri="{46F421CA-312F-682f-3DD2-61675219B42D}">
      <x14:dxfs count="24">
        <dxf>
          <fill>
            <patternFill>
              <bgColor theme="6" tint="0.79998168889431442"/>
            </patternFill>
          </fill>
        </dxf>
        <dxf>
          <fill>
            <patternFill>
              <bgColor theme="6" tint="0.59996337778862885"/>
            </patternFill>
          </fill>
        </dxf>
        <dxf>
          <fill>
            <patternFill>
              <bgColor theme="6" tint="0.59996337778862885"/>
            </patternFill>
          </fill>
        </dxf>
        <dxf>
          <fill>
            <patternFill>
              <bgColor rgb="FFFFC000"/>
            </patternFill>
          </fill>
        </dxf>
        <dxf>
          <fill>
            <patternFill>
              <bgColor rgb="FFFFC000"/>
            </patternFill>
          </fill>
        </dxf>
        <dxf>
          <fill>
            <patternFill>
              <bgColor theme="6" tint="0.79998168889431442"/>
            </patternFill>
          </fill>
        </dxf>
        <dxf>
          <fill>
            <patternFill>
              <bgColor theme="6" tint="0.59996337778862885"/>
            </patternFill>
          </fill>
        </dxf>
        <dxf>
          <fill>
            <patternFill>
              <bgColor rgb="FFFFC00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FFC000"/>
          </font>
          <fill>
            <patternFill patternType="solid">
              <fgColor auto="1"/>
              <bgColor rgb="FFFFC000"/>
            </patternFill>
          </fill>
          <border diagonalUp="1">
            <left style="thin">
              <color theme="6" tint="0.59999389629810485"/>
            </left>
            <right style="thin">
              <color theme="6" tint="0.59999389629810485"/>
            </right>
            <top style="thin">
              <color theme="6" tint="0.59999389629810485"/>
            </top>
            <bottom style="thin">
              <color theme="6" tint="0.59999389629810485"/>
            </bottom>
            <diagonal style="thin">
              <color theme="6" tint="0.59999389629810485"/>
            </diagonal>
            <vertical/>
            <horizontal/>
          </border>
        </dxf>
        <dxf>
          <font>
            <b/>
            <i val="0"/>
            <sz val="11"/>
            <color rgb="FFFFC000"/>
          </font>
          <fill>
            <patternFill patternType="solid">
              <fgColor auto="1"/>
              <bgColor rgb="FFFFC000"/>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7"/>
            <x14:slicerStyleElement type="selectedItemWithNoData" dxfId="6"/>
            <x14:slicerStyleElement type="hoveredUnselectedItemWithData" dxfId="1"/>
            <x14:slicerStyleElement type="hoveredSelectedItemWithData" dxfId="3"/>
            <x14:slicerStyleElement type="hoveredUnselectedItemWithNoData" dxfId="0"/>
            <x14:slicerStyleElement type="hoveredSelectedItemWithNoData" dxfId="2"/>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A0A4C193-F2C1-4fcb-8827-314CF55A85BB}">
      <x15:dxfs count="19">
        <dxf>
          <fill>
            <patternFill>
              <bgColor rgb="FFFFC000"/>
            </patternFill>
          </fill>
        </dxf>
        <dxf>
          <font>
            <sz val="9"/>
            <color theme="1" tint="0.499984740745262"/>
          </font>
        </dxf>
        <dxf>
          <font>
            <sz val="9"/>
            <color theme="6"/>
            <name val="Arial"/>
            <family val="2"/>
            <scheme val="minor"/>
          </font>
        </dxf>
        <dxf>
          <font>
            <sz val="9"/>
            <color theme="6"/>
            <name val="Arial"/>
            <family val="2"/>
            <scheme val="minor"/>
          </font>
        </dxf>
        <dxf>
          <font>
            <sz val="10"/>
            <color theme="6"/>
            <name val="Arial"/>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6"/>
            <name val="Arial"/>
            <family val="2"/>
            <scheme val="minor"/>
          </font>
        </dxf>
        <dxf>
          <font>
            <sz val="9"/>
            <color theme="6" tint="-0.24994659260841701"/>
            <name val="Arial"/>
            <family val="2"/>
            <scheme val="minor"/>
          </font>
        </dxf>
        <dxf>
          <font>
            <sz val="9"/>
            <color theme="6"/>
            <name val="Arial"/>
            <family val="2"/>
            <scheme val="minor"/>
          </font>
        </dxf>
        <dxf>
          <font>
            <sz val="10"/>
            <color theme="1"/>
            <name val="Arial"/>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3"/>
            <name val="Arial"/>
            <family val="2"/>
            <scheme val="minor"/>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6"/>
            <x15:timelineStyleElement type="timeLevel" dxfId="15"/>
            <x15:timelineStyleElement type="periodLabel1" dxfId="14"/>
            <x15:timelineStyleElement type="periodLabel2" dxfId="13"/>
            <x15:timelineStyleElement type="selectedTimeBlock" dxfId="18"/>
            <x15:timelineStyleElement type="unselectedTimeBlock" dxfId="17"/>
          </x15:timelineStyleElements>
        </x15:timelineStyle>
        <x15:timelineStyle name="Timeline Style 2">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3">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8888888888889"/>
          <c:y val="0.26333114610673664"/>
          <c:w val="0.89861111111111114"/>
          <c:h val="0.53167104111985997"/>
        </c:manualLayout>
      </c:layout>
      <c:barChart>
        <c:barDir val="col"/>
        <c:grouping val="clustered"/>
        <c:varyColors val="0"/>
        <c:ser>
          <c:idx val="0"/>
          <c:order val="0"/>
          <c:tx>
            <c:strRef>
              <c:f>'PIVOT TABLES'!$C$4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TABLES'!$B$5:$B$8</c:f>
              <c:strCache>
                <c:ptCount val="3"/>
                <c:pt idx="0">
                  <c:v>Mumbai</c:v>
                </c:pt>
                <c:pt idx="1">
                  <c:v>Hyderabad</c:v>
                </c:pt>
                <c:pt idx="2">
                  <c:v>Delhi</c:v>
                </c:pt>
              </c:strCache>
            </c:strRef>
          </c:cat>
          <c:val>
            <c:numRef>
              <c:f>'PIVOT TABLES'!$C$5:$C$8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22DA-4D71-9C02-CAF867FE6CE6}"/>
            </c:ext>
          </c:extLst>
        </c:ser>
        <c:dLbls>
          <c:dLblPos val="outEnd"/>
          <c:showLegendKey val="0"/>
          <c:showVal val="1"/>
          <c:showCatName val="0"/>
          <c:showSerName val="0"/>
          <c:showPercent val="0"/>
          <c:showBubbleSize val="0"/>
        </c:dLbls>
        <c:gapWidth val="219"/>
        <c:overlap val="-27"/>
        <c:axId val="375482912"/>
        <c:axId val="375478112"/>
      </c:barChart>
      <c:catAx>
        <c:axId val="375482912"/>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5478112"/>
        <c:crosses val="autoZero"/>
        <c:auto val="1"/>
        <c:lblAlgn val="ctr"/>
        <c:lblOffset val="100"/>
        <c:noMultiLvlLbl val="0"/>
      </c:catAx>
      <c:valAx>
        <c:axId val="375478112"/>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54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40156754264644E-2"/>
          <c:y val="0.18101851851851855"/>
          <c:w val="0.91585984324573533"/>
          <c:h val="0.71481481481481479"/>
        </c:manualLayout>
      </c:layout>
      <c:barChart>
        <c:barDir val="bar"/>
        <c:grouping val="clustered"/>
        <c:varyColors val="0"/>
        <c:ser>
          <c:idx val="0"/>
          <c:order val="0"/>
          <c:tx>
            <c:strRef>
              <c:f>'PIVOT TABLES'!$C$11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TABLES'!$B$12:$B$15</c:f>
              <c:strCache>
                <c:ptCount val="3"/>
                <c:pt idx="0">
                  <c:v>A</c:v>
                </c:pt>
                <c:pt idx="1">
                  <c:v>B</c:v>
                </c:pt>
                <c:pt idx="2">
                  <c:v>C</c:v>
                </c:pt>
              </c:strCache>
            </c:strRef>
          </c:cat>
          <c:val>
            <c:numRef>
              <c:f>'PIVOT TABLES'!$C$12:$C$15</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68B7-4A0C-9002-69FD30949B1C}"/>
            </c:ext>
          </c:extLst>
        </c:ser>
        <c:dLbls>
          <c:dLblPos val="outEnd"/>
          <c:showLegendKey val="0"/>
          <c:showVal val="1"/>
          <c:showCatName val="0"/>
          <c:showSerName val="0"/>
          <c:showPercent val="0"/>
          <c:showBubbleSize val="0"/>
        </c:dLbls>
        <c:gapWidth val="182"/>
        <c:axId val="1283130176"/>
        <c:axId val="1229420480"/>
      </c:barChart>
      <c:catAx>
        <c:axId val="12831301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29420480"/>
        <c:crosses val="autoZero"/>
        <c:auto val="1"/>
        <c:lblAlgn val="ctr"/>
        <c:lblOffset val="100"/>
        <c:noMultiLvlLbl val="0"/>
      </c:catAx>
      <c:valAx>
        <c:axId val="12294204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a:t>
                </a:r>
                <a:r>
                  <a:rPr lang="en-IN" baseline="0"/>
                  <a:t> Values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2831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1688538932632"/>
          <c:y val="0.17175925925925928"/>
          <c:w val="0.80343000874890635"/>
          <c:h val="0.46962817147856517"/>
        </c:manualLayout>
      </c:layout>
      <c:lineChart>
        <c:grouping val="standard"/>
        <c:varyColors val="0"/>
        <c:ser>
          <c:idx val="0"/>
          <c:order val="0"/>
          <c:tx>
            <c:strRef>
              <c:f>'PIVOT TABLES'!$C$18</c:f>
              <c:strCache>
                <c:ptCount val="1"/>
                <c:pt idx="0">
                  <c:v>Total</c:v>
                </c:pt>
              </c:strCache>
            </c:strRef>
          </c:tx>
          <c:spPr>
            <a:ln w="28575" cap="rnd">
              <a:solidFill>
                <a:schemeClr val="accent1"/>
              </a:solidFill>
              <a:round/>
            </a:ln>
            <a:effectLst/>
          </c:spPr>
          <c:marker>
            <c:symbol val="none"/>
          </c:marker>
          <c:cat>
            <c:strRef>
              <c:f>'PIVOT TABLES'!$B$19:$B$108</c:f>
              <c:strCache>
                <c:ptCount val="89"/>
                <c:pt idx="0">
                  <c:v>2019-01-01</c:v>
                </c:pt>
                <c:pt idx="1">
                  <c:v>2019-01-02</c:v>
                </c:pt>
                <c:pt idx="2">
                  <c:v>2019-01-03</c:v>
                </c:pt>
                <c:pt idx="3">
                  <c:v>2019-01-04</c:v>
                </c:pt>
                <c:pt idx="4">
                  <c:v>2019-01-05</c:v>
                </c:pt>
                <c:pt idx="5">
                  <c:v>2019-01-06</c:v>
                </c:pt>
                <c:pt idx="6">
                  <c:v>2019-01-07</c:v>
                </c:pt>
                <c:pt idx="7">
                  <c:v>2019-01-08</c:v>
                </c:pt>
                <c:pt idx="8">
                  <c:v>2019-01-09</c:v>
                </c:pt>
                <c:pt idx="9">
                  <c:v>2019-01-10</c:v>
                </c:pt>
                <c:pt idx="10">
                  <c:v>2019-01-11</c:v>
                </c:pt>
                <c:pt idx="11">
                  <c:v>2019-01-12</c:v>
                </c:pt>
                <c:pt idx="12">
                  <c:v>2019-01-13</c:v>
                </c:pt>
                <c:pt idx="13">
                  <c:v>2019-01-14</c:v>
                </c:pt>
                <c:pt idx="14">
                  <c:v>2019-01-15</c:v>
                </c:pt>
                <c:pt idx="15">
                  <c:v>2019-01-16</c:v>
                </c:pt>
                <c:pt idx="16">
                  <c:v>2019-01-17</c:v>
                </c:pt>
                <c:pt idx="17">
                  <c:v>2019-01-18</c:v>
                </c:pt>
                <c:pt idx="18">
                  <c:v>2019-01-19</c:v>
                </c:pt>
                <c:pt idx="19">
                  <c:v>2019-01-20</c:v>
                </c:pt>
                <c:pt idx="20">
                  <c:v>2019-01-21</c:v>
                </c:pt>
                <c:pt idx="21">
                  <c:v>2019-01-22</c:v>
                </c:pt>
                <c:pt idx="22">
                  <c:v>2019-01-23</c:v>
                </c:pt>
                <c:pt idx="23">
                  <c:v>2019-01-24</c:v>
                </c:pt>
                <c:pt idx="24">
                  <c:v>2019-01-25</c:v>
                </c:pt>
                <c:pt idx="25">
                  <c:v>2019-01-26</c:v>
                </c:pt>
                <c:pt idx="26">
                  <c:v>2019-01-27</c:v>
                </c:pt>
                <c:pt idx="27">
                  <c:v>2019-01-28</c:v>
                </c:pt>
                <c:pt idx="28">
                  <c:v>2019-01-29</c:v>
                </c:pt>
                <c:pt idx="29">
                  <c:v>2019-01-30</c:v>
                </c:pt>
                <c:pt idx="30">
                  <c:v>2019-01-31</c:v>
                </c:pt>
                <c:pt idx="31">
                  <c:v>2019-02-01</c:v>
                </c:pt>
                <c:pt idx="32">
                  <c:v>2019-02-02</c:v>
                </c:pt>
                <c:pt idx="33">
                  <c:v>2019-02-03</c:v>
                </c:pt>
                <c:pt idx="34">
                  <c:v>2019-02-04</c:v>
                </c:pt>
                <c:pt idx="35">
                  <c:v>2019-02-05</c:v>
                </c:pt>
                <c:pt idx="36">
                  <c:v>2019-02-06</c:v>
                </c:pt>
                <c:pt idx="37">
                  <c:v>2019-02-07</c:v>
                </c:pt>
                <c:pt idx="38">
                  <c:v>2019-02-08</c:v>
                </c:pt>
                <c:pt idx="39">
                  <c:v>2019-02-09</c:v>
                </c:pt>
                <c:pt idx="40">
                  <c:v>2019-02-10</c:v>
                </c:pt>
                <c:pt idx="41">
                  <c:v>2019-02-11</c:v>
                </c:pt>
                <c:pt idx="42">
                  <c:v>2019-02-12</c:v>
                </c:pt>
                <c:pt idx="43">
                  <c:v>2019-02-13</c:v>
                </c:pt>
                <c:pt idx="44">
                  <c:v>2019-02-14</c:v>
                </c:pt>
                <c:pt idx="45">
                  <c:v>2019-02-15</c:v>
                </c:pt>
                <c:pt idx="46">
                  <c:v>2019-02-16</c:v>
                </c:pt>
                <c:pt idx="47">
                  <c:v>2019-02-17</c:v>
                </c:pt>
                <c:pt idx="48">
                  <c:v>2019-02-18</c:v>
                </c:pt>
                <c:pt idx="49">
                  <c:v>2019-02-19</c:v>
                </c:pt>
                <c:pt idx="50">
                  <c:v>2019-02-20</c:v>
                </c:pt>
                <c:pt idx="51">
                  <c:v>2019-02-21</c:v>
                </c:pt>
                <c:pt idx="52">
                  <c:v>2019-02-22</c:v>
                </c:pt>
                <c:pt idx="53">
                  <c:v>2019-02-23</c:v>
                </c:pt>
                <c:pt idx="54">
                  <c:v>2019-02-24</c:v>
                </c:pt>
                <c:pt idx="55">
                  <c:v>2019-02-25</c:v>
                </c:pt>
                <c:pt idx="56">
                  <c:v>2019-02-26</c:v>
                </c:pt>
                <c:pt idx="57">
                  <c:v>2019-02-27</c:v>
                </c:pt>
                <c:pt idx="58">
                  <c:v>2019-02-28</c:v>
                </c:pt>
                <c:pt idx="59">
                  <c:v>2019-03-01</c:v>
                </c:pt>
                <c:pt idx="60">
                  <c:v>2019-03-02</c:v>
                </c:pt>
                <c:pt idx="61">
                  <c:v>2019-03-03</c:v>
                </c:pt>
                <c:pt idx="62">
                  <c:v>2019-03-04</c:v>
                </c:pt>
                <c:pt idx="63">
                  <c:v>2019-03-05</c:v>
                </c:pt>
                <c:pt idx="64">
                  <c:v>2019-03-06</c:v>
                </c:pt>
                <c:pt idx="65">
                  <c:v>2019-03-07</c:v>
                </c:pt>
                <c:pt idx="66">
                  <c:v>2019-03-08</c:v>
                </c:pt>
                <c:pt idx="67">
                  <c:v>2019-03-09</c:v>
                </c:pt>
                <c:pt idx="68">
                  <c:v>2019-03-10</c:v>
                </c:pt>
                <c:pt idx="69">
                  <c:v>2019-03-11</c:v>
                </c:pt>
                <c:pt idx="70">
                  <c:v>2019-03-12</c:v>
                </c:pt>
                <c:pt idx="71">
                  <c:v>2019-03-13</c:v>
                </c:pt>
                <c:pt idx="72">
                  <c:v>2019-03-14</c:v>
                </c:pt>
                <c:pt idx="73">
                  <c:v>2019-03-15</c:v>
                </c:pt>
                <c:pt idx="74">
                  <c:v>2019-03-16</c:v>
                </c:pt>
                <c:pt idx="75">
                  <c:v>2019-03-17</c:v>
                </c:pt>
                <c:pt idx="76">
                  <c:v>2019-03-18</c:v>
                </c:pt>
                <c:pt idx="77">
                  <c:v>2019-03-19</c:v>
                </c:pt>
                <c:pt idx="78">
                  <c:v>2019-03-20</c:v>
                </c:pt>
                <c:pt idx="79">
                  <c:v>2019-03-21</c:v>
                </c:pt>
                <c:pt idx="80">
                  <c:v>2019-03-22</c:v>
                </c:pt>
                <c:pt idx="81">
                  <c:v>2019-03-23</c:v>
                </c:pt>
                <c:pt idx="82">
                  <c:v>2019-03-24</c:v>
                </c:pt>
                <c:pt idx="83">
                  <c:v>2019-03-25</c:v>
                </c:pt>
                <c:pt idx="84">
                  <c:v>2019-03-26</c:v>
                </c:pt>
                <c:pt idx="85">
                  <c:v>2019-03-27</c:v>
                </c:pt>
                <c:pt idx="86">
                  <c:v>2019-03-28</c:v>
                </c:pt>
                <c:pt idx="87">
                  <c:v>2019-03-29</c:v>
                </c:pt>
                <c:pt idx="88">
                  <c:v>2019-03-30</c:v>
                </c:pt>
              </c:strCache>
            </c:strRef>
          </c:cat>
          <c:val>
            <c:numRef>
              <c:f>'PIVOT TABLES'!$C$19:$C$108</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663D-4154-98EE-ED8BBD606CE9}"/>
            </c:ext>
          </c:extLst>
        </c:ser>
        <c:dLbls>
          <c:showLegendKey val="0"/>
          <c:showVal val="0"/>
          <c:showCatName val="0"/>
          <c:showSerName val="0"/>
          <c:showPercent val="0"/>
          <c:showBubbleSize val="0"/>
        </c:dLbls>
        <c:smooth val="0"/>
        <c:axId val="1240879280"/>
        <c:axId val="1240887920"/>
      </c:lineChart>
      <c:catAx>
        <c:axId val="124087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87920"/>
        <c:crosses val="autoZero"/>
        <c:auto val="1"/>
        <c:lblAlgn val="ctr"/>
        <c:lblOffset val="100"/>
        <c:noMultiLvlLbl val="0"/>
      </c:catAx>
      <c:valAx>
        <c:axId val="1240887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Values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87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8.6712790266919679E-2"/>
                  <c:h val="9.4949023183748191E-2"/>
                </c:manualLayout>
              </c15:layout>
            </c:ext>
          </c:extLst>
        </c:dLbl>
      </c:pivotFmt>
      <c:pivotFmt>
        <c:idx val="3"/>
        <c:spPr>
          <a:solidFill>
            <a:schemeClr val="accent1"/>
          </a:solidFill>
          <a:ln w="19050">
            <a:solidFill>
              <a:schemeClr val="lt1"/>
            </a:solidFill>
          </a:ln>
          <a:effectLst/>
        </c:spPr>
      </c:pivotFmt>
    </c:pivotFmts>
    <c:plotArea>
      <c:layout/>
      <c:doughnutChart>
        <c:varyColors val="1"/>
        <c:ser>
          <c:idx val="0"/>
          <c:order val="0"/>
          <c:tx>
            <c:strRef>
              <c:f>'PIVOT TABLES'!$C$110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C39-4EA9-B86F-D8A5542BBE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39-4EA9-B86F-D8A5542BBE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C39-4EA9-B86F-D8A5542BBECE}"/>
              </c:ext>
            </c:extLst>
          </c:dPt>
          <c:dLbls>
            <c:dLbl>
              <c:idx val="1"/>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8.6712790266919679E-2"/>
                      <c:h val="9.4949023183748191E-2"/>
                    </c:manualLayout>
                  </c15:layout>
                </c:ext>
                <c:ext xmlns:c16="http://schemas.microsoft.com/office/drawing/2014/chart" uri="{C3380CC4-5D6E-409C-BE32-E72D297353CC}">
                  <c16:uniqueId val="{00000003-2C39-4EA9-B86F-D8A5542BBECE}"/>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TABLES'!$B$111:$B$114</c:f>
              <c:strCache>
                <c:ptCount val="3"/>
                <c:pt idx="0">
                  <c:v>Cash</c:v>
                </c:pt>
                <c:pt idx="1">
                  <c:v>Credit card</c:v>
                </c:pt>
                <c:pt idx="2">
                  <c:v>Ewallet</c:v>
                </c:pt>
              </c:strCache>
            </c:strRef>
          </c:cat>
          <c:val>
            <c:numRef>
              <c:f>'PIVOT TABLES'!$C$111:$C$114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2C39-4EA9-B86F-D8A5542BBEC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TABLES'!$G$47</c:f>
              <c:strCache>
                <c:ptCount val="1"/>
                <c:pt idx="0">
                  <c:v>Sum of Total</c:v>
                </c:pt>
              </c:strCache>
            </c:strRef>
          </c:tx>
          <c:spPr>
            <a:solidFill>
              <a:schemeClr val="accent1"/>
            </a:solidFill>
            <a:ln>
              <a:noFill/>
            </a:ln>
            <a:effectLst/>
          </c:spPr>
          <c:invertIfNegative val="0"/>
          <c:cat>
            <c:strRef>
              <c:f>'PIVOT TABLES'!$F$48:$F$54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TABLES'!$G$48:$G$54</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BB2A-4BD8-ABCE-EA957701783B}"/>
            </c:ext>
          </c:extLst>
        </c:ser>
        <c:dLbls>
          <c:showLegendKey val="0"/>
          <c:showVal val="0"/>
          <c:showCatName val="0"/>
          <c:showSerName val="0"/>
          <c:showPercent val="0"/>
          <c:showBubbleSize val="0"/>
        </c:dLbls>
        <c:gapWidth val="219"/>
        <c:overlap val="-27"/>
        <c:axId val="1409681504"/>
        <c:axId val="1409675264"/>
      </c:barChart>
      <c:lineChart>
        <c:grouping val="standard"/>
        <c:varyColors val="0"/>
        <c:ser>
          <c:idx val="1"/>
          <c:order val="1"/>
          <c:tx>
            <c:strRef>
              <c:f>'PIVOT TABLES'!$H$47</c:f>
              <c:strCache>
                <c:ptCount val="1"/>
                <c:pt idx="0">
                  <c:v>Sum of gross income</c:v>
                </c:pt>
              </c:strCache>
            </c:strRef>
          </c:tx>
          <c:spPr>
            <a:ln w="28575" cap="rnd">
              <a:solidFill>
                <a:schemeClr val="accent2"/>
              </a:solidFill>
              <a:round/>
            </a:ln>
            <a:effectLst/>
          </c:spPr>
          <c:marker>
            <c:symbol val="none"/>
          </c:marker>
          <c:cat>
            <c:strRef>
              <c:f>'PIVOT TABLES'!$F$48:$F$54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TABLES'!$H$48:$H$54</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BB2A-4BD8-ABCE-EA957701783B}"/>
            </c:ext>
          </c:extLst>
        </c:ser>
        <c:dLbls>
          <c:showLegendKey val="0"/>
          <c:showVal val="0"/>
          <c:showCatName val="0"/>
          <c:showSerName val="0"/>
          <c:showPercent val="0"/>
          <c:showBubbleSize val="0"/>
        </c:dLbls>
        <c:marker val="1"/>
        <c:smooth val="0"/>
        <c:axId val="1519433248"/>
        <c:axId val="1519448128"/>
      </c:lineChart>
      <c:catAx>
        <c:axId val="14096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75264"/>
        <c:crosses val="autoZero"/>
        <c:auto val="1"/>
        <c:lblAlgn val="ctr"/>
        <c:lblOffset val="100"/>
        <c:noMultiLvlLbl val="0"/>
      </c:catAx>
      <c:valAx>
        <c:axId val="14096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681504"/>
        <c:crosses val="autoZero"/>
        <c:crossBetween val="between"/>
      </c:valAx>
      <c:valAx>
        <c:axId val="15194481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33248"/>
        <c:crosses val="max"/>
        <c:crossBetween val="between"/>
      </c:valAx>
      <c:catAx>
        <c:axId val="1519433248"/>
        <c:scaling>
          <c:orientation val="minMax"/>
        </c:scaling>
        <c:delete val="1"/>
        <c:axPos val="b"/>
        <c:numFmt formatCode="General" sourceLinked="1"/>
        <c:majorTickMark val="out"/>
        <c:minorTickMark val="none"/>
        <c:tickLblPos val="nextTo"/>
        <c:crossAx val="15194481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manualLayout>
          <c:layoutTarget val="inner"/>
          <c:xMode val="edge"/>
          <c:yMode val="edge"/>
          <c:x val="7.6429674494886454E-2"/>
          <c:y val="0.12327345532560195"/>
          <c:w val="0.82166409284526498"/>
          <c:h val="0.71129622317806518"/>
        </c:manualLayout>
      </c:layout>
      <c:barChart>
        <c:barDir val="col"/>
        <c:grouping val="clustered"/>
        <c:varyColors val="0"/>
        <c:ser>
          <c:idx val="0"/>
          <c:order val="0"/>
          <c:tx>
            <c:strRef>
              <c:f>'PIVOT TABLES'!$C$4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TABLES'!$B$5:$B$8</c:f>
              <c:strCache>
                <c:ptCount val="3"/>
                <c:pt idx="0">
                  <c:v>Mumbai</c:v>
                </c:pt>
                <c:pt idx="1">
                  <c:v>Hyderabad</c:v>
                </c:pt>
                <c:pt idx="2">
                  <c:v>Delhi</c:v>
                </c:pt>
              </c:strCache>
            </c:strRef>
          </c:cat>
          <c:val>
            <c:numRef>
              <c:f>'PIVOT TABLES'!$C$5:$C$8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A174-4971-9F81-FD04353A5C5A}"/>
            </c:ext>
          </c:extLst>
        </c:ser>
        <c:dLbls>
          <c:dLblPos val="outEnd"/>
          <c:showLegendKey val="0"/>
          <c:showVal val="1"/>
          <c:showCatName val="0"/>
          <c:showSerName val="0"/>
          <c:showPercent val="0"/>
          <c:showBubbleSize val="0"/>
        </c:dLbls>
        <c:gapWidth val="219"/>
        <c:overlap val="-27"/>
        <c:axId val="375482912"/>
        <c:axId val="375478112"/>
      </c:barChart>
      <c:catAx>
        <c:axId val="37548291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sz="1100" b="1">
                    <a:solidFill>
                      <a:schemeClr val="accent3"/>
                    </a:solidFill>
                  </a:rPr>
                  <a:t>City</a:t>
                </a:r>
              </a:p>
            </c:rich>
          </c:tx>
          <c:layout>
            <c:manualLayout>
              <c:xMode val="edge"/>
              <c:yMode val="edge"/>
              <c:x val="0.45316194526124681"/>
              <c:y val="0.8700701973842826"/>
            </c:manualLayout>
          </c:layout>
          <c:overlay val="0"/>
          <c:spPr>
            <a:solidFill>
              <a:schemeClr val="tx1"/>
            </a:solidFill>
            <a:ln>
              <a:noFill/>
            </a:ln>
            <a:effectLst/>
          </c:spPr>
          <c:txPr>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none"/>
        <c:minorTickMark val="none"/>
        <c:tickLblPos val="nextTo"/>
        <c:crossAx val="375478112"/>
        <c:crosses val="autoZero"/>
        <c:auto val="1"/>
        <c:lblAlgn val="ctr"/>
        <c:lblOffset val="100"/>
        <c:noMultiLvlLbl val="0"/>
      </c:catAx>
      <c:valAx>
        <c:axId val="375478112"/>
        <c:scaling>
          <c:orientation val="minMax"/>
        </c:scaling>
        <c:delete val="1"/>
        <c:axPos val="l"/>
        <c:numFmt formatCode="General" sourceLinked="1"/>
        <c:majorTickMark val="none"/>
        <c:minorTickMark val="none"/>
        <c:tickLblPos val="nextTo"/>
        <c:crossAx val="3754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Sales</a:t>
            </a:r>
            <a:r>
              <a:rPr lang="en-US" baseline="0">
                <a:solidFill>
                  <a:schemeClr val="accent3"/>
                </a:solidFill>
              </a:rPr>
              <a:t>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TABLES'!$B$12:$B$15</c:f>
              <c:strCache>
                <c:ptCount val="3"/>
                <c:pt idx="0">
                  <c:v>A</c:v>
                </c:pt>
                <c:pt idx="1">
                  <c:v>B</c:v>
                </c:pt>
                <c:pt idx="2">
                  <c:v>C</c:v>
                </c:pt>
              </c:strCache>
            </c:strRef>
          </c:cat>
          <c:val>
            <c:numRef>
              <c:f>'PIVOT TABLES'!$C$12:$C$15</c:f>
              <c:numCache>
                <c:formatCode>General</c:formatCode>
                <c:ptCount val="3"/>
                <c:pt idx="0">
                  <c:v>169948.96799999985</c:v>
                </c:pt>
                <c:pt idx="1">
                  <c:v>141567.69899999994</c:v>
                </c:pt>
                <c:pt idx="2">
                  <c:v>347755.81050000031</c:v>
                </c:pt>
              </c:numCache>
            </c:numRef>
          </c:val>
          <c:extLst>
            <c:ext xmlns:c16="http://schemas.microsoft.com/office/drawing/2014/chart" uri="{C3380CC4-5D6E-409C-BE32-E72D297353CC}">
              <c16:uniqueId val="{00000000-14C7-472B-85DE-D64411FF937D}"/>
            </c:ext>
          </c:extLst>
        </c:ser>
        <c:dLbls>
          <c:dLblPos val="outEnd"/>
          <c:showLegendKey val="0"/>
          <c:showVal val="1"/>
          <c:showCatName val="0"/>
          <c:showSerName val="0"/>
          <c:showPercent val="0"/>
          <c:showBubbleSize val="0"/>
        </c:dLbls>
        <c:gapWidth val="182"/>
        <c:axId val="1283130176"/>
        <c:axId val="1229420480"/>
      </c:barChart>
      <c:catAx>
        <c:axId val="12831301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Branch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US"/>
            </a:p>
          </c:txPr>
        </c:title>
        <c:numFmt formatCode="General" sourceLinked="1"/>
        <c:majorTickMark val="none"/>
        <c:minorTickMark val="none"/>
        <c:tickLblPos val="nextTo"/>
        <c:crossAx val="1229420480"/>
        <c:crosses val="autoZero"/>
        <c:auto val="1"/>
        <c:lblAlgn val="ctr"/>
        <c:lblOffset val="100"/>
        <c:noMultiLvlLbl val="0"/>
      </c:catAx>
      <c:valAx>
        <c:axId val="12294204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 Of</a:t>
                </a:r>
                <a:r>
                  <a:rPr lang="en-IN" baseline="0">
                    <a:solidFill>
                      <a:schemeClr val="accent3"/>
                    </a:solidFill>
                  </a:rPr>
                  <a:t> Values</a:t>
                </a:r>
                <a:endParaRPr lang="en-IN">
                  <a:solidFill>
                    <a:schemeClr val="accent3"/>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IN"/>
            </a:p>
          </c:txPr>
        </c:title>
        <c:numFmt formatCode="General" sourceLinked="1"/>
        <c:majorTickMark val="none"/>
        <c:minorTickMark val="none"/>
        <c:tickLblPos val="nextTo"/>
        <c:crossAx val="128313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r>
              <a:rPr lang="en-US">
                <a:solidFill>
                  <a:schemeClr val="accent3"/>
                </a:solidFill>
              </a:rPr>
              <a:t>Monthly</a:t>
            </a:r>
            <a:r>
              <a:rPr lang="en-US" baseline="0">
                <a:solidFill>
                  <a:schemeClr val="accent3"/>
                </a:solidFill>
              </a:rPr>
              <a:t> Sales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TABLES'!$C$18</c:f>
              <c:strCache>
                <c:ptCount val="1"/>
                <c:pt idx="0">
                  <c:v>Total</c:v>
                </c:pt>
              </c:strCache>
            </c:strRef>
          </c:tx>
          <c:spPr>
            <a:ln w="28575" cap="rnd">
              <a:solidFill>
                <a:schemeClr val="tx2"/>
              </a:solidFill>
              <a:round/>
            </a:ln>
            <a:effectLst/>
          </c:spPr>
          <c:marker>
            <c:symbol val="none"/>
          </c:marker>
          <c:cat>
            <c:strRef>
              <c:f>'PIVOT TABLES'!$B$19:$B$108</c:f>
              <c:strCache>
                <c:ptCount val="89"/>
                <c:pt idx="0">
                  <c:v>2019-01-01</c:v>
                </c:pt>
                <c:pt idx="1">
                  <c:v>2019-01-02</c:v>
                </c:pt>
                <c:pt idx="2">
                  <c:v>2019-01-03</c:v>
                </c:pt>
                <c:pt idx="3">
                  <c:v>2019-01-04</c:v>
                </c:pt>
                <c:pt idx="4">
                  <c:v>2019-01-05</c:v>
                </c:pt>
                <c:pt idx="5">
                  <c:v>2019-01-06</c:v>
                </c:pt>
                <c:pt idx="6">
                  <c:v>2019-01-07</c:v>
                </c:pt>
                <c:pt idx="7">
                  <c:v>2019-01-08</c:v>
                </c:pt>
                <c:pt idx="8">
                  <c:v>2019-01-09</c:v>
                </c:pt>
                <c:pt idx="9">
                  <c:v>2019-01-10</c:v>
                </c:pt>
                <c:pt idx="10">
                  <c:v>2019-01-11</c:v>
                </c:pt>
                <c:pt idx="11">
                  <c:v>2019-01-12</c:v>
                </c:pt>
                <c:pt idx="12">
                  <c:v>2019-01-13</c:v>
                </c:pt>
                <c:pt idx="13">
                  <c:v>2019-01-14</c:v>
                </c:pt>
                <c:pt idx="14">
                  <c:v>2019-01-15</c:v>
                </c:pt>
                <c:pt idx="15">
                  <c:v>2019-01-16</c:v>
                </c:pt>
                <c:pt idx="16">
                  <c:v>2019-01-17</c:v>
                </c:pt>
                <c:pt idx="17">
                  <c:v>2019-01-18</c:v>
                </c:pt>
                <c:pt idx="18">
                  <c:v>2019-01-19</c:v>
                </c:pt>
                <c:pt idx="19">
                  <c:v>2019-01-20</c:v>
                </c:pt>
                <c:pt idx="20">
                  <c:v>2019-01-21</c:v>
                </c:pt>
                <c:pt idx="21">
                  <c:v>2019-01-22</c:v>
                </c:pt>
                <c:pt idx="22">
                  <c:v>2019-01-23</c:v>
                </c:pt>
                <c:pt idx="23">
                  <c:v>2019-01-24</c:v>
                </c:pt>
                <c:pt idx="24">
                  <c:v>2019-01-25</c:v>
                </c:pt>
                <c:pt idx="25">
                  <c:v>2019-01-26</c:v>
                </c:pt>
                <c:pt idx="26">
                  <c:v>2019-01-27</c:v>
                </c:pt>
                <c:pt idx="27">
                  <c:v>2019-01-28</c:v>
                </c:pt>
                <c:pt idx="28">
                  <c:v>2019-01-29</c:v>
                </c:pt>
                <c:pt idx="29">
                  <c:v>2019-01-30</c:v>
                </c:pt>
                <c:pt idx="30">
                  <c:v>2019-01-31</c:v>
                </c:pt>
                <c:pt idx="31">
                  <c:v>2019-02-01</c:v>
                </c:pt>
                <c:pt idx="32">
                  <c:v>2019-02-02</c:v>
                </c:pt>
                <c:pt idx="33">
                  <c:v>2019-02-03</c:v>
                </c:pt>
                <c:pt idx="34">
                  <c:v>2019-02-04</c:v>
                </c:pt>
                <c:pt idx="35">
                  <c:v>2019-02-05</c:v>
                </c:pt>
                <c:pt idx="36">
                  <c:v>2019-02-06</c:v>
                </c:pt>
                <c:pt idx="37">
                  <c:v>2019-02-07</c:v>
                </c:pt>
                <c:pt idx="38">
                  <c:v>2019-02-08</c:v>
                </c:pt>
                <c:pt idx="39">
                  <c:v>2019-02-09</c:v>
                </c:pt>
                <c:pt idx="40">
                  <c:v>2019-02-10</c:v>
                </c:pt>
                <c:pt idx="41">
                  <c:v>2019-02-11</c:v>
                </c:pt>
                <c:pt idx="42">
                  <c:v>2019-02-12</c:v>
                </c:pt>
                <c:pt idx="43">
                  <c:v>2019-02-13</c:v>
                </c:pt>
                <c:pt idx="44">
                  <c:v>2019-02-14</c:v>
                </c:pt>
                <c:pt idx="45">
                  <c:v>2019-02-15</c:v>
                </c:pt>
                <c:pt idx="46">
                  <c:v>2019-02-16</c:v>
                </c:pt>
                <c:pt idx="47">
                  <c:v>2019-02-17</c:v>
                </c:pt>
                <c:pt idx="48">
                  <c:v>2019-02-18</c:v>
                </c:pt>
                <c:pt idx="49">
                  <c:v>2019-02-19</c:v>
                </c:pt>
                <c:pt idx="50">
                  <c:v>2019-02-20</c:v>
                </c:pt>
                <c:pt idx="51">
                  <c:v>2019-02-21</c:v>
                </c:pt>
                <c:pt idx="52">
                  <c:v>2019-02-22</c:v>
                </c:pt>
                <c:pt idx="53">
                  <c:v>2019-02-23</c:v>
                </c:pt>
                <c:pt idx="54">
                  <c:v>2019-02-24</c:v>
                </c:pt>
                <c:pt idx="55">
                  <c:v>2019-02-25</c:v>
                </c:pt>
                <c:pt idx="56">
                  <c:v>2019-02-26</c:v>
                </c:pt>
                <c:pt idx="57">
                  <c:v>2019-02-27</c:v>
                </c:pt>
                <c:pt idx="58">
                  <c:v>2019-02-28</c:v>
                </c:pt>
                <c:pt idx="59">
                  <c:v>2019-03-01</c:v>
                </c:pt>
                <c:pt idx="60">
                  <c:v>2019-03-02</c:v>
                </c:pt>
                <c:pt idx="61">
                  <c:v>2019-03-03</c:v>
                </c:pt>
                <c:pt idx="62">
                  <c:v>2019-03-04</c:v>
                </c:pt>
                <c:pt idx="63">
                  <c:v>2019-03-05</c:v>
                </c:pt>
                <c:pt idx="64">
                  <c:v>2019-03-06</c:v>
                </c:pt>
                <c:pt idx="65">
                  <c:v>2019-03-07</c:v>
                </c:pt>
                <c:pt idx="66">
                  <c:v>2019-03-08</c:v>
                </c:pt>
                <c:pt idx="67">
                  <c:v>2019-03-09</c:v>
                </c:pt>
                <c:pt idx="68">
                  <c:v>2019-03-10</c:v>
                </c:pt>
                <c:pt idx="69">
                  <c:v>2019-03-11</c:v>
                </c:pt>
                <c:pt idx="70">
                  <c:v>2019-03-12</c:v>
                </c:pt>
                <c:pt idx="71">
                  <c:v>2019-03-13</c:v>
                </c:pt>
                <c:pt idx="72">
                  <c:v>2019-03-14</c:v>
                </c:pt>
                <c:pt idx="73">
                  <c:v>2019-03-15</c:v>
                </c:pt>
                <c:pt idx="74">
                  <c:v>2019-03-16</c:v>
                </c:pt>
                <c:pt idx="75">
                  <c:v>2019-03-17</c:v>
                </c:pt>
                <c:pt idx="76">
                  <c:v>2019-03-18</c:v>
                </c:pt>
                <c:pt idx="77">
                  <c:v>2019-03-19</c:v>
                </c:pt>
                <c:pt idx="78">
                  <c:v>2019-03-20</c:v>
                </c:pt>
                <c:pt idx="79">
                  <c:v>2019-03-21</c:v>
                </c:pt>
                <c:pt idx="80">
                  <c:v>2019-03-22</c:v>
                </c:pt>
                <c:pt idx="81">
                  <c:v>2019-03-23</c:v>
                </c:pt>
                <c:pt idx="82">
                  <c:v>2019-03-24</c:v>
                </c:pt>
                <c:pt idx="83">
                  <c:v>2019-03-25</c:v>
                </c:pt>
                <c:pt idx="84">
                  <c:v>2019-03-26</c:v>
                </c:pt>
                <c:pt idx="85">
                  <c:v>2019-03-27</c:v>
                </c:pt>
                <c:pt idx="86">
                  <c:v>2019-03-28</c:v>
                </c:pt>
                <c:pt idx="87">
                  <c:v>2019-03-29</c:v>
                </c:pt>
                <c:pt idx="88">
                  <c:v>2019-03-30</c:v>
                </c:pt>
              </c:strCache>
            </c:strRef>
          </c:cat>
          <c:val>
            <c:numRef>
              <c:f>'PIVOT TABLES'!$C$19:$C$108</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506F-478E-AFD4-72F333CE567B}"/>
            </c:ext>
          </c:extLst>
        </c:ser>
        <c:dLbls>
          <c:showLegendKey val="0"/>
          <c:showVal val="0"/>
          <c:showCatName val="0"/>
          <c:showSerName val="0"/>
          <c:showPercent val="0"/>
          <c:showBubbleSize val="0"/>
        </c:dLbls>
        <c:smooth val="0"/>
        <c:axId val="1240879280"/>
        <c:axId val="1240887920"/>
      </c:lineChart>
      <c:catAx>
        <c:axId val="124087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a:solidFill>
                      <a:schemeClr val="accent3"/>
                    </a:solidFill>
                  </a:rPr>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240887920"/>
        <c:crosses val="autoZero"/>
        <c:auto val="1"/>
        <c:lblAlgn val="ctr"/>
        <c:lblOffset val="100"/>
        <c:noMultiLvlLbl val="0"/>
      </c:catAx>
      <c:valAx>
        <c:axId val="1240887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r>
                  <a:rPr lang="en-IN">
                    <a:solidFill>
                      <a:schemeClr val="accent3"/>
                    </a:solidFill>
                  </a:rPr>
                  <a:t>Sum</a:t>
                </a:r>
                <a:r>
                  <a:rPr lang="en-IN" baseline="0">
                    <a:solidFill>
                      <a:schemeClr val="accent3"/>
                    </a:solidFill>
                  </a:rPr>
                  <a:t> Of Values</a:t>
                </a:r>
                <a:endParaRPr lang="en-IN">
                  <a:solidFill>
                    <a:schemeClr val="accent3"/>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3"/>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240879280"/>
        <c:crosses val="autoZero"/>
        <c:crossBetween val="between"/>
      </c:valAx>
      <c:spPr>
        <a:solidFill>
          <a:schemeClr val="accent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solidFill>
              </a:rPr>
              <a:t>Sales</a:t>
            </a:r>
            <a:r>
              <a:rPr lang="en-US" b="1" baseline="0">
                <a:solidFill>
                  <a:schemeClr val="accent3"/>
                </a:solidFill>
              </a:rPr>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8.6712790266919679E-2"/>
                  <c:h val="9.4949023183748191E-2"/>
                </c:manualLayout>
              </c15:layout>
            </c:ext>
          </c:extLst>
        </c:dLbl>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8.6712790266919679E-2"/>
                  <c:h val="9.4949023183748191E-2"/>
                </c:manualLayout>
              </c15:layout>
            </c:ext>
          </c:extLst>
        </c:dLbl>
      </c:pivotFmt>
      <c:pivotFmt>
        <c:idx val="7"/>
        <c:spPr>
          <a:solidFill>
            <a:schemeClr val="accent1"/>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a:t>19%</a:t>
                </a:r>
              </a:p>
            </c:rich>
          </c:tx>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0.12559944934251177"/>
                  <c:h val="9.4949180173218808E-2"/>
                </c:manualLayout>
              </c15:layout>
              <c15:showDataLabelsRange val="0"/>
            </c:ext>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4.6688920773786453E-2"/>
          <c:y val="0.14329152494105735"/>
          <c:w val="0.66919949514898414"/>
          <c:h val="0.77219849676340913"/>
        </c:manualLayout>
      </c:layout>
      <c:doughnutChart>
        <c:varyColors val="1"/>
        <c:ser>
          <c:idx val="0"/>
          <c:order val="0"/>
          <c:tx>
            <c:strRef>
              <c:f>'PIVOT TABLES'!$C$110</c:f>
              <c:strCache>
                <c:ptCount val="1"/>
                <c:pt idx="0">
                  <c:v>Total</c:v>
                </c:pt>
              </c:strCache>
            </c:strRef>
          </c:tx>
          <c:spPr>
            <a:solidFill>
              <a:schemeClr val="accent3"/>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1-AA67-419B-A4B8-13E99A563CD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A67-419B-A4B8-13E99A563C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67-419B-A4B8-13E99A563CD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AA67-419B-A4B8-13E99A563CDD}"/>
                </c:ext>
              </c:extLst>
            </c:dLbl>
            <c:dLbl>
              <c:idx val="1"/>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r>
                      <a:rPr lang="en-US"/>
                      <a:t>19%</a:t>
                    </a:r>
                  </a:p>
                </c:rich>
              </c:tx>
              <c:spPr>
                <a:xfrm>
                  <a:off x="1022522" y="1624948"/>
                  <a:ext cx="194258" cy="256152"/>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4264"/>
                        <a:gd name="adj2" fmla="val -52135"/>
                      </a:avLst>
                    </a:prstGeom>
                    <a:noFill/>
                    <a:ln>
                      <a:noFill/>
                    </a:ln>
                  </c15:spPr>
                  <c15:layout>
                    <c:manualLayout>
                      <c:w val="0.12559944934251177"/>
                      <c:h val="9.4949180173218808E-2"/>
                    </c:manualLayout>
                  </c15:layout>
                  <c15:showDataLabelsRange val="0"/>
                </c:ext>
                <c:ext xmlns:c16="http://schemas.microsoft.com/office/drawing/2014/chart" uri="{C3380CC4-5D6E-409C-BE32-E72D297353CC}">
                  <c16:uniqueId val="{00000003-AA67-419B-A4B8-13E99A563CD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TABLES'!$B$111:$B$114</c:f>
              <c:strCache>
                <c:ptCount val="3"/>
                <c:pt idx="0">
                  <c:v>Cash</c:v>
                </c:pt>
                <c:pt idx="1">
                  <c:v>Credit card</c:v>
                </c:pt>
                <c:pt idx="2">
                  <c:v>Ewallet</c:v>
                </c:pt>
              </c:strCache>
            </c:strRef>
          </c:cat>
          <c:val>
            <c:numRef>
              <c:f>'PIVOT TABLES'!$C$111:$C$114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AA67-419B-A4B8-13E99A563CD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DASHBOARD.xlsx]PIVOT TABLES!PivotTable11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5734908136482"/>
          <c:y val="0.11874101194337934"/>
          <c:w val="0.71970231846019261"/>
          <c:h val="0.5305121896857925"/>
        </c:manualLayout>
      </c:layout>
      <c:barChart>
        <c:barDir val="col"/>
        <c:grouping val="clustered"/>
        <c:varyColors val="0"/>
        <c:ser>
          <c:idx val="0"/>
          <c:order val="0"/>
          <c:tx>
            <c:strRef>
              <c:f>'PIVOT TABLES'!$G$47</c:f>
              <c:strCache>
                <c:ptCount val="1"/>
                <c:pt idx="0">
                  <c:v>Sum of Total</c:v>
                </c:pt>
              </c:strCache>
            </c:strRef>
          </c:tx>
          <c:spPr>
            <a:solidFill>
              <a:schemeClr val="accent3"/>
            </a:solidFill>
            <a:ln>
              <a:noFill/>
            </a:ln>
            <a:effectLst/>
          </c:spPr>
          <c:invertIfNegative val="0"/>
          <c:cat>
            <c:strRef>
              <c:f>'PIVOT TABLES'!$F$48:$F$54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TABLES'!$G$48:$G$54</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EC10-4DBF-8E47-CD7D9EF5C9EC}"/>
            </c:ext>
          </c:extLst>
        </c:ser>
        <c:dLbls>
          <c:showLegendKey val="0"/>
          <c:showVal val="0"/>
          <c:showCatName val="0"/>
          <c:showSerName val="0"/>
          <c:showPercent val="0"/>
          <c:showBubbleSize val="0"/>
        </c:dLbls>
        <c:gapWidth val="219"/>
        <c:overlap val="-27"/>
        <c:axId val="1409681504"/>
        <c:axId val="1409675264"/>
      </c:barChart>
      <c:lineChart>
        <c:grouping val="standard"/>
        <c:varyColors val="0"/>
        <c:ser>
          <c:idx val="1"/>
          <c:order val="1"/>
          <c:tx>
            <c:strRef>
              <c:f>'PIVOT TABLES'!$H$47</c:f>
              <c:strCache>
                <c:ptCount val="1"/>
                <c:pt idx="0">
                  <c:v>Sum of gross income</c:v>
                </c:pt>
              </c:strCache>
            </c:strRef>
          </c:tx>
          <c:spPr>
            <a:ln w="28575" cap="rnd">
              <a:solidFill>
                <a:schemeClr val="accent2"/>
              </a:solidFill>
              <a:round/>
            </a:ln>
            <a:effectLst/>
          </c:spPr>
          <c:marker>
            <c:symbol val="none"/>
          </c:marker>
          <c:cat>
            <c:strRef>
              <c:f>'PIVOT TABLES'!$F$48:$F$54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TABLES'!$H$48:$H$54</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EC10-4DBF-8E47-CD7D9EF5C9EC}"/>
            </c:ext>
          </c:extLst>
        </c:ser>
        <c:dLbls>
          <c:showLegendKey val="0"/>
          <c:showVal val="0"/>
          <c:showCatName val="0"/>
          <c:showSerName val="0"/>
          <c:showPercent val="0"/>
          <c:showBubbleSize val="0"/>
        </c:dLbls>
        <c:marker val="1"/>
        <c:smooth val="0"/>
        <c:axId val="1519433248"/>
        <c:axId val="1519448128"/>
      </c:lineChart>
      <c:catAx>
        <c:axId val="1409681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3"/>
                    </a:solidFill>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409675264"/>
        <c:crosses val="autoZero"/>
        <c:auto val="1"/>
        <c:lblAlgn val="ctr"/>
        <c:lblOffset val="100"/>
        <c:noMultiLvlLbl val="0"/>
      </c:catAx>
      <c:valAx>
        <c:axId val="1409675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3"/>
                    </a:solidFill>
                  </a:rPr>
                  <a:t>Sum</a:t>
                </a:r>
                <a:r>
                  <a:rPr lang="en-IN" b="1" baseline="0">
                    <a:solidFill>
                      <a:schemeClr val="accent3"/>
                    </a:solidFill>
                  </a:rPr>
                  <a:t> Of Total</a:t>
                </a:r>
                <a:endParaRPr lang="en-IN" b="1">
                  <a:solidFill>
                    <a:schemeClr val="accent3"/>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409681504"/>
        <c:crosses val="autoZero"/>
        <c:crossBetween val="between"/>
      </c:valAx>
      <c:valAx>
        <c:axId val="15194481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3"/>
                    </a:solidFill>
                  </a:rPr>
                  <a:t>Sum</a:t>
                </a:r>
                <a:r>
                  <a:rPr lang="en-IN" b="1" baseline="0">
                    <a:solidFill>
                      <a:schemeClr val="accent3"/>
                    </a:solidFill>
                  </a:rPr>
                  <a:t> Of Gross Income</a:t>
                </a:r>
                <a:endParaRPr lang="en-IN" b="1">
                  <a:solidFill>
                    <a:schemeClr val="accent3"/>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en-US"/>
          </a:p>
        </c:txPr>
        <c:crossAx val="1519433248"/>
        <c:crosses val="max"/>
        <c:crossBetween val="between"/>
      </c:valAx>
      <c:catAx>
        <c:axId val="1519433248"/>
        <c:scaling>
          <c:orientation val="minMax"/>
        </c:scaling>
        <c:delete val="1"/>
        <c:axPos val="t"/>
        <c:numFmt formatCode="General" sourceLinked="1"/>
        <c:majorTickMark val="out"/>
        <c:minorTickMark val="none"/>
        <c:tickLblPos val="nextTo"/>
        <c:crossAx val="151944812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18" Type="http://schemas.openxmlformats.org/officeDocument/2006/relationships/image" Target="../media/image13.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17" Type="http://schemas.openxmlformats.org/officeDocument/2006/relationships/image" Target="../media/image12.png"/><Relationship Id="rId2" Type="http://schemas.openxmlformats.org/officeDocument/2006/relationships/image" Target="../media/image2.svg"/><Relationship Id="rId16"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20</xdr:col>
      <xdr:colOff>594360</xdr:colOff>
      <xdr:row>29</xdr:row>
      <xdr:rowOff>11430</xdr:rowOff>
    </xdr:from>
    <xdr:to>
      <xdr:col>28</xdr:col>
      <xdr:colOff>289560</xdr:colOff>
      <xdr:row>45</xdr:row>
      <xdr:rowOff>72390</xdr:rowOff>
    </xdr:to>
    <xdr:graphicFrame macro="">
      <xdr:nvGraphicFramePr>
        <xdr:cNvPr id="2" name="Chart 1">
          <a:extLst>
            <a:ext uri="{FF2B5EF4-FFF2-40B4-BE49-F238E27FC236}">
              <a16:creationId xmlns:a16="http://schemas.microsoft.com/office/drawing/2014/main" id="{4D657B31-899F-B5A6-EEB4-0FADC535C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487680</xdr:colOff>
      <xdr:row>11</xdr:row>
      <xdr:rowOff>26670</xdr:rowOff>
    </xdr:from>
    <xdr:to>
      <xdr:col>28</xdr:col>
      <xdr:colOff>510540</xdr:colOff>
      <xdr:row>27</xdr:row>
      <xdr:rowOff>87630</xdr:rowOff>
    </xdr:to>
    <xdr:graphicFrame macro="">
      <xdr:nvGraphicFramePr>
        <xdr:cNvPr id="4" name="Chart 3">
          <a:extLst>
            <a:ext uri="{FF2B5EF4-FFF2-40B4-BE49-F238E27FC236}">
              <a16:creationId xmlns:a16="http://schemas.microsoft.com/office/drawing/2014/main" id="{FC991FF6-0DA4-57B9-1E57-83E0BAD2E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182880</xdr:colOff>
      <xdr:row>12</xdr:row>
      <xdr:rowOff>95250</xdr:rowOff>
    </xdr:from>
    <xdr:to>
      <xdr:col>36</xdr:col>
      <xdr:colOff>487680</xdr:colOff>
      <xdr:row>28</xdr:row>
      <xdr:rowOff>156210</xdr:rowOff>
    </xdr:to>
    <xdr:graphicFrame macro="">
      <xdr:nvGraphicFramePr>
        <xdr:cNvPr id="5" name="Chart 4">
          <a:extLst>
            <a:ext uri="{FF2B5EF4-FFF2-40B4-BE49-F238E27FC236}">
              <a16:creationId xmlns:a16="http://schemas.microsoft.com/office/drawing/2014/main" id="{EFEBDA81-48F8-F2C1-EED4-D44B22217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228600</xdr:colOff>
      <xdr:row>101</xdr:row>
      <xdr:rowOff>163830</xdr:rowOff>
    </xdr:from>
    <xdr:to>
      <xdr:col>14</xdr:col>
      <xdr:colOff>106680</xdr:colOff>
      <xdr:row>118</xdr:row>
      <xdr:rowOff>57150</xdr:rowOff>
    </xdr:to>
    <xdr:graphicFrame macro="">
      <xdr:nvGraphicFramePr>
        <xdr:cNvPr id="6" name="Chart 5">
          <a:extLst>
            <a:ext uri="{FF2B5EF4-FFF2-40B4-BE49-F238E27FC236}">
              <a16:creationId xmlns:a16="http://schemas.microsoft.com/office/drawing/2014/main" id="{359DD6FC-5E7A-C4B8-F467-C4CCCEB71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412142</xdr:colOff>
      <xdr:row>37</xdr:row>
      <xdr:rowOff>22781</xdr:rowOff>
    </xdr:from>
    <xdr:to>
      <xdr:col>38</xdr:col>
      <xdr:colOff>136913</xdr:colOff>
      <xdr:row>53</xdr:row>
      <xdr:rowOff>126475</xdr:rowOff>
    </xdr:to>
    <xdr:graphicFrame macro="">
      <xdr:nvGraphicFramePr>
        <xdr:cNvPr id="7" name="Chart 6">
          <a:extLst>
            <a:ext uri="{FF2B5EF4-FFF2-40B4-BE49-F238E27FC236}">
              <a16:creationId xmlns:a16="http://schemas.microsoft.com/office/drawing/2014/main" id="{4829BF76-D58E-803A-3E48-D57C9164E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211668</xdr:colOff>
      <xdr:row>28</xdr:row>
      <xdr:rowOff>74507</xdr:rowOff>
    </xdr:from>
    <xdr:to>
      <xdr:col>22</xdr:col>
      <xdr:colOff>501228</xdr:colOff>
      <xdr:row>36</xdr:row>
      <xdr:rowOff>91440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C9D6B70E-8A37-0155-A9AA-4BFD49746B0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4342535" y="48158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192193</xdr:colOff>
      <xdr:row>7</xdr:row>
      <xdr:rowOff>148167</xdr:rowOff>
    </xdr:from>
    <xdr:to>
      <xdr:col>13</xdr:col>
      <xdr:colOff>590127</xdr:colOff>
      <xdr:row>21</xdr:row>
      <xdr:rowOff>15875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4F386E93-DDF7-96C2-E288-0F8A96A83F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928860" y="13335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452120</xdr:colOff>
      <xdr:row>7</xdr:row>
      <xdr:rowOff>103294</xdr:rowOff>
    </xdr:from>
    <xdr:to>
      <xdr:col>19</xdr:col>
      <xdr:colOff>240453</xdr:colOff>
      <xdr:row>20</xdr:row>
      <xdr:rowOff>140335</xdr:rowOff>
    </xdr:to>
    <mc:AlternateContent xmlns:mc="http://schemas.openxmlformats.org/markup-compatibility/2006">
      <mc:Choice xmlns:a14="http://schemas.microsoft.com/office/drawing/2010/main" Requires="a14">
        <xdr:graphicFrame macro="">
          <xdr:nvGraphicFramePr>
            <xdr:cNvPr id="10" name="Total">
              <a:extLst>
                <a:ext uri="{FF2B5EF4-FFF2-40B4-BE49-F238E27FC236}">
                  <a16:creationId xmlns:a16="http://schemas.microsoft.com/office/drawing/2014/main" id="{3CCD3BC3-7251-C63B-224C-93E92C9469D9}"/>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dr:sp macro="" textlink="">
          <xdr:nvSpPr>
            <xdr:cNvPr id="0" name=""/>
            <xdr:cNvSpPr>
              <a:spLocks noTextEdit="1"/>
            </xdr:cNvSpPr>
          </xdr:nvSpPr>
          <xdr:spPr>
            <a:xfrm>
              <a:off x="13761720" y="1288627"/>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22860</xdr:colOff>
      <xdr:row>0</xdr:row>
      <xdr:rowOff>30480</xdr:rowOff>
    </xdr:from>
    <xdr:ext cx="14156966" cy="5356860"/>
    <xdr:sp macro="" textlink="">
      <xdr:nvSpPr>
        <xdr:cNvPr id="2" name="TextBox 1">
          <a:extLst>
            <a:ext uri="{FF2B5EF4-FFF2-40B4-BE49-F238E27FC236}">
              <a16:creationId xmlns:a16="http://schemas.microsoft.com/office/drawing/2014/main" id="{DF686EA3-2603-CB18-F9EB-B1CCAAF0A479}"/>
            </a:ext>
          </a:extLst>
        </xdr:cNvPr>
        <xdr:cNvSpPr txBox="1"/>
      </xdr:nvSpPr>
      <xdr:spPr>
        <a:xfrm>
          <a:off x="22860" y="30480"/>
          <a:ext cx="14156966" cy="53568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94922</xdr:colOff>
      <xdr:row>0</xdr:row>
      <xdr:rowOff>140147</xdr:rowOff>
    </xdr:from>
    <xdr:to>
      <xdr:col>3</xdr:col>
      <xdr:colOff>161183</xdr:colOff>
      <xdr:row>10</xdr:row>
      <xdr:rowOff>145143</xdr:rowOff>
    </xdr:to>
    <xdr:sp macro="" textlink="">
      <xdr:nvSpPr>
        <xdr:cNvPr id="3" name="Rectangle 2">
          <a:extLst>
            <a:ext uri="{FF2B5EF4-FFF2-40B4-BE49-F238E27FC236}">
              <a16:creationId xmlns:a16="http://schemas.microsoft.com/office/drawing/2014/main" id="{FF307CA6-1494-4D75-0FF2-D8E36668D1A6}"/>
            </a:ext>
          </a:extLst>
        </xdr:cNvPr>
        <xdr:cNvSpPr/>
      </xdr:nvSpPr>
      <xdr:spPr>
        <a:xfrm>
          <a:off x="94922" y="140147"/>
          <a:ext cx="1880547" cy="1698329"/>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171946</xdr:colOff>
      <xdr:row>0</xdr:row>
      <xdr:rowOff>115958</xdr:rowOff>
    </xdr:from>
    <xdr:to>
      <xdr:col>18</xdr:col>
      <xdr:colOff>57978</xdr:colOff>
      <xdr:row>4</xdr:row>
      <xdr:rowOff>82827</xdr:rowOff>
    </xdr:to>
    <xdr:sp macro="" textlink="">
      <xdr:nvSpPr>
        <xdr:cNvPr id="4" name="Rectangle 3">
          <a:extLst>
            <a:ext uri="{FF2B5EF4-FFF2-40B4-BE49-F238E27FC236}">
              <a16:creationId xmlns:a16="http://schemas.microsoft.com/office/drawing/2014/main" id="{B9F13C40-1719-4CF0-B5AB-8F5827812EE0}"/>
            </a:ext>
          </a:extLst>
        </xdr:cNvPr>
        <xdr:cNvSpPr/>
      </xdr:nvSpPr>
      <xdr:spPr>
        <a:xfrm>
          <a:off x="2010685" y="115958"/>
          <a:ext cx="9079728" cy="62947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3"/>
              </a:solidFill>
            </a:rPr>
            <a:t>                  Real Mart Sales</a:t>
          </a:r>
          <a:r>
            <a:rPr lang="en-IN" sz="2400" b="1" baseline="0">
              <a:solidFill>
                <a:schemeClr val="accent3"/>
              </a:solidFill>
            </a:rPr>
            <a:t> Analasis</a:t>
          </a:r>
          <a:endParaRPr lang="en-IN" sz="2400" b="1">
            <a:solidFill>
              <a:schemeClr val="accent3"/>
            </a:solidFill>
          </a:endParaRPr>
        </a:p>
      </xdr:txBody>
    </xdr:sp>
    <xdr:clientData/>
  </xdr:twoCellAnchor>
  <xdr:twoCellAnchor>
    <xdr:from>
      <xdr:col>0</xdr:col>
      <xdr:colOff>91109</xdr:colOff>
      <xdr:row>11</xdr:row>
      <xdr:rowOff>0</xdr:rowOff>
    </xdr:from>
    <xdr:to>
      <xdr:col>3</xdr:col>
      <xdr:colOff>149086</xdr:colOff>
      <xdr:row>44</xdr:row>
      <xdr:rowOff>132908</xdr:rowOff>
    </xdr:to>
    <xdr:sp macro="" textlink="">
      <xdr:nvSpPr>
        <xdr:cNvPr id="5" name="Rectangle 4">
          <a:extLst>
            <a:ext uri="{FF2B5EF4-FFF2-40B4-BE49-F238E27FC236}">
              <a16:creationId xmlns:a16="http://schemas.microsoft.com/office/drawing/2014/main" id="{BAB43EEC-516A-4774-BA4F-0F1ED6F4125B}"/>
            </a:ext>
          </a:extLst>
        </xdr:cNvPr>
        <xdr:cNvSpPr/>
      </xdr:nvSpPr>
      <xdr:spPr>
        <a:xfrm>
          <a:off x="91109" y="1862667"/>
          <a:ext cx="1872263" cy="572090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180228</xdr:colOff>
      <xdr:row>4</xdr:row>
      <xdr:rowOff>124239</xdr:rowOff>
    </xdr:from>
    <xdr:to>
      <xdr:col>6</xdr:col>
      <xdr:colOff>397564</xdr:colOff>
      <xdr:row>10</xdr:row>
      <xdr:rowOff>129870</xdr:rowOff>
    </xdr:to>
    <xdr:sp macro="" textlink="">
      <xdr:nvSpPr>
        <xdr:cNvPr id="6" name="Rectangle 5">
          <a:extLst>
            <a:ext uri="{FF2B5EF4-FFF2-40B4-BE49-F238E27FC236}">
              <a16:creationId xmlns:a16="http://schemas.microsoft.com/office/drawing/2014/main" id="{ED016AF3-EA41-4435-96F4-1C311E19E682}"/>
            </a:ext>
          </a:extLst>
        </xdr:cNvPr>
        <xdr:cNvSpPr/>
      </xdr:nvSpPr>
      <xdr:spPr>
        <a:xfrm>
          <a:off x="2018967" y="786848"/>
          <a:ext cx="2056075" cy="999544"/>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3"/>
              </a:solidFill>
            </a:rPr>
            <a:t>                 Total Sales</a:t>
          </a:r>
        </a:p>
      </xdr:txBody>
    </xdr:sp>
    <xdr:clientData/>
  </xdr:twoCellAnchor>
  <xdr:twoCellAnchor>
    <xdr:from>
      <xdr:col>6</xdr:col>
      <xdr:colOff>422412</xdr:colOff>
      <xdr:row>4</xdr:row>
      <xdr:rowOff>100053</xdr:rowOff>
    </xdr:from>
    <xdr:to>
      <xdr:col>10</xdr:col>
      <xdr:colOff>347869</xdr:colOff>
      <xdr:row>10</xdr:row>
      <xdr:rowOff>124900</xdr:rowOff>
    </xdr:to>
    <xdr:sp macro="" textlink="">
      <xdr:nvSpPr>
        <xdr:cNvPr id="7" name="Rectangle 6">
          <a:extLst>
            <a:ext uri="{FF2B5EF4-FFF2-40B4-BE49-F238E27FC236}">
              <a16:creationId xmlns:a16="http://schemas.microsoft.com/office/drawing/2014/main" id="{A186E2F7-C1E3-4B2A-9C85-3F7D87EAF959}"/>
            </a:ext>
          </a:extLst>
        </xdr:cNvPr>
        <xdr:cNvSpPr/>
      </xdr:nvSpPr>
      <xdr:spPr>
        <a:xfrm>
          <a:off x="4099890" y="762662"/>
          <a:ext cx="2377109" cy="1018760"/>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a:solidFill>
                <a:schemeClr val="accent3"/>
              </a:solidFill>
            </a:rPr>
            <a:t>Total Profit</a:t>
          </a:r>
        </a:p>
        <a:p>
          <a:pPr algn="l"/>
          <a:endParaRPr lang="en-IN" sz="1100"/>
        </a:p>
      </xdr:txBody>
    </xdr:sp>
    <xdr:clientData/>
  </xdr:twoCellAnchor>
  <xdr:twoCellAnchor>
    <xdr:from>
      <xdr:col>10</xdr:col>
      <xdr:colOff>344224</xdr:colOff>
      <xdr:row>4</xdr:row>
      <xdr:rowOff>119934</xdr:rowOff>
    </xdr:from>
    <xdr:to>
      <xdr:col>14</xdr:col>
      <xdr:colOff>182216</xdr:colOff>
      <xdr:row>10</xdr:row>
      <xdr:rowOff>144781</xdr:rowOff>
    </xdr:to>
    <xdr:sp macro="" textlink="'PIVOT TABLES'!K30">
      <xdr:nvSpPr>
        <xdr:cNvPr id="8" name="Rectangle 7">
          <a:extLst>
            <a:ext uri="{FF2B5EF4-FFF2-40B4-BE49-F238E27FC236}">
              <a16:creationId xmlns:a16="http://schemas.microsoft.com/office/drawing/2014/main" id="{E865071C-B2AC-4934-9AAE-DC53684137AB}"/>
            </a:ext>
          </a:extLst>
        </xdr:cNvPr>
        <xdr:cNvSpPr/>
      </xdr:nvSpPr>
      <xdr:spPr>
        <a:xfrm>
          <a:off x="6473354" y="782543"/>
          <a:ext cx="2289645" cy="1027042"/>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i="0" u="none" strike="noStrike">
              <a:solidFill>
                <a:schemeClr val="accent3"/>
              </a:solidFill>
              <a:latin typeface="+mn-lt"/>
              <a:cs typeface="+mn-cs"/>
            </a:rPr>
            <a:t>                 Total orders          </a:t>
          </a:r>
          <a:endParaRPr lang="en-IN" sz="1100">
            <a:solidFill>
              <a:schemeClr val="accent3"/>
            </a:solidFill>
          </a:endParaRPr>
        </a:p>
      </xdr:txBody>
    </xdr:sp>
    <xdr:clientData/>
  </xdr:twoCellAnchor>
  <xdr:twoCellAnchor>
    <xdr:from>
      <xdr:col>14</xdr:col>
      <xdr:colOff>223630</xdr:colOff>
      <xdr:row>4</xdr:row>
      <xdr:rowOff>98398</xdr:rowOff>
    </xdr:from>
    <xdr:to>
      <xdr:col>18</xdr:col>
      <xdr:colOff>65928</xdr:colOff>
      <xdr:row>10</xdr:row>
      <xdr:rowOff>123245</xdr:rowOff>
    </xdr:to>
    <xdr:sp macro="" textlink="">
      <xdr:nvSpPr>
        <xdr:cNvPr id="9" name="Rectangle 8">
          <a:extLst>
            <a:ext uri="{FF2B5EF4-FFF2-40B4-BE49-F238E27FC236}">
              <a16:creationId xmlns:a16="http://schemas.microsoft.com/office/drawing/2014/main" id="{A08B59E7-4DF4-4AE7-AAC0-B3ED4B49B3DF}"/>
            </a:ext>
          </a:extLst>
        </xdr:cNvPr>
        <xdr:cNvSpPr/>
      </xdr:nvSpPr>
      <xdr:spPr>
        <a:xfrm>
          <a:off x="8804413" y="761007"/>
          <a:ext cx="2293950" cy="1018760"/>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3"/>
              </a:solidFill>
            </a:rPr>
            <a:t>                    Avg. Rating</a:t>
          </a:r>
        </a:p>
        <a:p>
          <a:pPr algn="l"/>
          <a:endParaRPr lang="en-IN" sz="1100"/>
        </a:p>
      </xdr:txBody>
    </xdr:sp>
    <xdr:clientData/>
  </xdr:twoCellAnchor>
  <xdr:twoCellAnchor>
    <xdr:from>
      <xdr:col>18</xdr:col>
      <xdr:colOff>91107</xdr:colOff>
      <xdr:row>0</xdr:row>
      <xdr:rowOff>107674</xdr:rowOff>
    </xdr:from>
    <xdr:to>
      <xdr:col>23</xdr:col>
      <xdr:colOff>8283</xdr:colOff>
      <xdr:row>10</xdr:row>
      <xdr:rowOff>124239</xdr:rowOff>
    </xdr:to>
    <xdr:sp macro="" textlink="">
      <xdr:nvSpPr>
        <xdr:cNvPr id="10" name="Rectangle 9">
          <a:extLst>
            <a:ext uri="{FF2B5EF4-FFF2-40B4-BE49-F238E27FC236}">
              <a16:creationId xmlns:a16="http://schemas.microsoft.com/office/drawing/2014/main" id="{225E574F-958F-461B-A89E-0ABF1EA8D396}"/>
            </a:ext>
          </a:extLst>
        </xdr:cNvPr>
        <xdr:cNvSpPr/>
      </xdr:nvSpPr>
      <xdr:spPr>
        <a:xfrm>
          <a:off x="11123542" y="107674"/>
          <a:ext cx="2981741" cy="1673087"/>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10</xdr:row>
      <xdr:rowOff>149087</xdr:rowOff>
    </xdr:from>
    <xdr:to>
      <xdr:col>13</xdr:col>
      <xdr:colOff>356152</xdr:colOff>
      <xdr:row>27</xdr:row>
      <xdr:rowOff>157369</xdr:rowOff>
    </xdr:to>
    <xdr:sp macro="" textlink="">
      <xdr:nvSpPr>
        <xdr:cNvPr id="11" name="Rectangle 10">
          <a:extLst>
            <a:ext uri="{FF2B5EF4-FFF2-40B4-BE49-F238E27FC236}">
              <a16:creationId xmlns:a16="http://schemas.microsoft.com/office/drawing/2014/main" id="{3E756FAA-50D1-4367-9D01-C1070647EA69}"/>
            </a:ext>
          </a:extLst>
        </xdr:cNvPr>
        <xdr:cNvSpPr/>
      </xdr:nvSpPr>
      <xdr:spPr>
        <a:xfrm>
          <a:off x="2029239" y="1805609"/>
          <a:ext cx="6294783" cy="2824369"/>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372716</xdr:colOff>
      <xdr:row>10</xdr:row>
      <xdr:rowOff>157368</xdr:rowOff>
    </xdr:from>
    <xdr:to>
      <xdr:col>23</xdr:col>
      <xdr:colOff>16564</xdr:colOff>
      <xdr:row>27</xdr:row>
      <xdr:rowOff>157369</xdr:rowOff>
    </xdr:to>
    <xdr:sp macro="" textlink="">
      <xdr:nvSpPr>
        <xdr:cNvPr id="12" name="Rectangle 11">
          <a:extLst>
            <a:ext uri="{FF2B5EF4-FFF2-40B4-BE49-F238E27FC236}">
              <a16:creationId xmlns:a16="http://schemas.microsoft.com/office/drawing/2014/main" id="{91DBBACA-7A5C-4775-8488-9B385E143D1A}"/>
            </a:ext>
          </a:extLst>
        </xdr:cNvPr>
        <xdr:cNvSpPr/>
      </xdr:nvSpPr>
      <xdr:spPr>
        <a:xfrm>
          <a:off x="8340586" y="1822172"/>
          <a:ext cx="5772978" cy="2816088"/>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a:p>
          <a:pPr algn="l"/>
          <a:r>
            <a:rPr lang="en-IN" sz="1100" b="1">
              <a:solidFill>
                <a:schemeClr val="accent3"/>
              </a:solidFill>
            </a:rPr>
            <a:t>                                                           Total Sales</a:t>
          </a:r>
          <a:r>
            <a:rPr lang="en-IN" sz="1100" b="1" baseline="0">
              <a:solidFill>
                <a:schemeClr val="accent3"/>
              </a:solidFill>
            </a:rPr>
            <a:t> By City</a:t>
          </a:r>
          <a:endParaRPr lang="en-IN" sz="1100" b="1">
            <a:solidFill>
              <a:schemeClr val="accent3"/>
            </a:solidFill>
          </a:endParaRPr>
        </a:p>
      </xdr:txBody>
    </xdr:sp>
    <xdr:clientData/>
  </xdr:twoCellAnchor>
  <xdr:twoCellAnchor>
    <xdr:from>
      <xdr:col>3</xdr:col>
      <xdr:colOff>188512</xdr:colOff>
      <xdr:row>28</xdr:row>
      <xdr:rowOff>5633</xdr:rowOff>
    </xdr:from>
    <xdr:to>
      <xdr:col>10</xdr:col>
      <xdr:colOff>530087</xdr:colOff>
      <xdr:row>44</xdr:row>
      <xdr:rowOff>150628</xdr:rowOff>
    </xdr:to>
    <xdr:sp macro="" textlink="">
      <xdr:nvSpPr>
        <xdr:cNvPr id="13" name="Rectangle 12">
          <a:extLst>
            <a:ext uri="{FF2B5EF4-FFF2-40B4-BE49-F238E27FC236}">
              <a16:creationId xmlns:a16="http://schemas.microsoft.com/office/drawing/2014/main" id="{ED83963F-2020-4264-B33B-BD7904E88946}"/>
            </a:ext>
          </a:extLst>
        </xdr:cNvPr>
        <xdr:cNvSpPr/>
      </xdr:nvSpPr>
      <xdr:spPr>
        <a:xfrm>
          <a:off x="2022628" y="4728261"/>
          <a:ext cx="4621180" cy="2838576"/>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552946</xdr:colOff>
      <xdr:row>28</xdr:row>
      <xdr:rowOff>13916</xdr:rowOff>
    </xdr:from>
    <xdr:to>
      <xdr:col>16</xdr:col>
      <xdr:colOff>157368</xdr:colOff>
      <xdr:row>44</xdr:row>
      <xdr:rowOff>159489</xdr:rowOff>
    </xdr:to>
    <xdr:sp macro="" textlink="">
      <xdr:nvSpPr>
        <xdr:cNvPr id="14" name="Rectangle 13">
          <a:extLst>
            <a:ext uri="{FF2B5EF4-FFF2-40B4-BE49-F238E27FC236}">
              <a16:creationId xmlns:a16="http://schemas.microsoft.com/office/drawing/2014/main" id="{3D54C8E1-074F-42FF-B392-E46BC0AE4F8C}"/>
            </a:ext>
          </a:extLst>
        </xdr:cNvPr>
        <xdr:cNvSpPr/>
      </xdr:nvSpPr>
      <xdr:spPr>
        <a:xfrm>
          <a:off x="6666667" y="4736544"/>
          <a:ext cx="3272654" cy="2839154"/>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180230</xdr:colOff>
      <xdr:row>28</xdr:row>
      <xdr:rowOff>13916</xdr:rowOff>
    </xdr:from>
    <xdr:to>
      <xdr:col>23</xdr:col>
      <xdr:colOff>41413</xdr:colOff>
      <xdr:row>45</xdr:row>
      <xdr:rowOff>0</xdr:rowOff>
    </xdr:to>
    <xdr:sp macro="" textlink="">
      <xdr:nvSpPr>
        <xdr:cNvPr id="15" name="Rectangle 14">
          <a:extLst>
            <a:ext uri="{FF2B5EF4-FFF2-40B4-BE49-F238E27FC236}">
              <a16:creationId xmlns:a16="http://schemas.microsoft.com/office/drawing/2014/main" id="{029B3ECF-1893-47C6-ABFE-8FB259FA3A99}"/>
            </a:ext>
          </a:extLst>
        </xdr:cNvPr>
        <xdr:cNvSpPr/>
      </xdr:nvSpPr>
      <xdr:spPr>
        <a:xfrm>
          <a:off x="9962183" y="4736544"/>
          <a:ext cx="4140788" cy="2848014"/>
        </a:xfrm>
        <a:prstGeom prst="rect">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117930</xdr:colOff>
      <xdr:row>0</xdr:row>
      <xdr:rowOff>128053</xdr:rowOff>
    </xdr:from>
    <xdr:to>
      <xdr:col>13</xdr:col>
      <xdr:colOff>302381</xdr:colOff>
      <xdr:row>4</xdr:row>
      <xdr:rowOff>70074</xdr:rowOff>
    </xdr:to>
    <xdr:pic>
      <xdr:nvPicPr>
        <xdr:cNvPr id="17" name="Graphic 16" descr="Bar graph with upward trend with solid fill">
          <a:extLst>
            <a:ext uri="{FF2B5EF4-FFF2-40B4-BE49-F238E27FC236}">
              <a16:creationId xmlns:a16="http://schemas.microsoft.com/office/drawing/2014/main" id="{43FFAC6D-8C38-D4BA-9380-09FB43B6B7D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75073" y="128053"/>
          <a:ext cx="789213" cy="619354"/>
        </a:xfrm>
        <a:prstGeom prst="rect">
          <a:avLst/>
        </a:prstGeom>
      </xdr:spPr>
    </xdr:pic>
    <xdr:clientData/>
  </xdr:twoCellAnchor>
  <xdr:twoCellAnchor editAs="oneCell">
    <xdr:from>
      <xdr:col>3</xdr:col>
      <xdr:colOff>215349</xdr:colOff>
      <xdr:row>5</xdr:row>
      <xdr:rowOff>24848</xdr:rowOff>
    </xdr:from>
    <xdr:to>
      <xdr:col>4</xdr:col>
      <xdr:colOff>248480</xdr:colOff>
      <xdr:row>9</xdr:row>
      <xdr:rowOff>1</xdr:rowOff>
    </xdr:to>
    <xdr:pic>
      <xdr:nvPicPr>
        <xdr:cNvPr id="19" name="Graphic 18" descr="Bar chart with solid fill">
          <a:extLst>
            <a:ext uri="{FF2B5EF4-FFF2-40B4-BE49-F238E27FC236}">
              <a16:creationId xmlns:a16="http://schemas.microsoft.com/office/drawing/2014/main" id="{DBE6FF81-525B-D980-5403-7EA261CB20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54088" y="853109"/>
          <a:ext cx="646044" cy="646044"/>
        </a:xfrm>
        <a:prstGeom prst="rect">
          <a:avLst/>
        </a:prstGeom>
      </xdr:spPr>
    </xdr:pic>
    <xdr:clientData/>
  </xdr:twoCellAnchor>
  <xdr:twoCellAnchor editAs="oneCell">
    <xdr:from>
      <xdr:col>6</xdr:col>
      <xdr:colOff>483704</xdr:colOff>
      <xdr:row>5</xdr:row>
      <xdr:rowOff>140803</xdr:rowOff>
    </xdr:from>
    <xdr:to>
      <xdr:col>7</xdr:col>
      <xdr:colOff>455545</xdr:colOff>
      <xdr:row>9</xdr:row>
      <xdr:rowOff>74544</xdr:rowOff>
    </xdr:to>
    <xdr:pic>
      <xdr:nvPicPr>
        <xdr:cNvPr id="21" name="Graphic 20" descr="Coins with solid fill">
          <a:extLst>
            <a:ext uri="{FF2B5EF4-FFF2-40B4-BE49-F238E27FC236}">
              <a16:creationId xmlns:a16="http://schemas.microsoft.com/office/drawing/2014/main" id="{B8C9F097-B922-BF88-452C-81D8F078C0D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61182" y="969064"/>
          <a:ext cx="584754" cy="604632"/>
        </a:xfrm>
        <a:prstGeom prst="rect">
          <a:avLst/>
        </a:prstGeom>
      </xdr:spPr>
    </xdr:pic>
    <xdr:clientData/>
  </xdr:twoCellAnchor>
  <xdr:twoCellAnchor editAs="oneCell">
    <xdr:from>
      <xdr:col>10</xdr:col>
      <xdr:colOff>410074</xdr:colOff>
      <xdr:row>5</xdr:row>
      <xdr:rowOff>73630</xdr:rowOff>
    </xdr:from>
    <xdr:to>
      <xdr:col>11</xdr:col>
      <xdr:colOff>405848</xdr:colOff>
      <xdr:row>9</xdr:row>
      <xdr:rowOff>0</xdr:rowOff>
    </xdr:to>
    <xdr:pic>
      <xdr:nvPicPr>
        <xdr:cNvPr id="23" name="Graphic 22" descr="Shopping cart with solid fill">
          <a:extLst>
            <a:ext uri="{FF2B5EF4-FFF2-40B4-BE49-F238E27FC236}">
              <a16:creationId xmlns:a16="http://schemas.microsoft.com/office/drawing/2014/main" id="{9443C4BF-F51D-AA29-8CF7-AA8F97FC682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39204" y="901891"/>
          <a:ext cx="608687" cy="597261"/>
        </a:xfrm>
        <a:prstGeom prst="rect">
          <a:avLst/>
        </a:prstGeom>
      </xdr:spPr>
    </xdr:pic>
    <xdr:clientData/>
  </xdr:twoCellAnchor>
  <xdr:twoCellAnchor editAs="oneCell">
    <xdr:from>
      <xdr:col>14</xdr:col>
      <xdr:colOff>336443</xdr:colOff>
      <xdr:row>5</xdr:row>
      <xdr:rowOff>33130</xdr:rowOff>
    </xdr:from>
    <xdr:to>
      <xdr:col>15</xdr:col>
      <xdr:colOff>223630</xdr:colOff>
      <xdr:row>8</xdr:row>
      <xdr:rowOff>130690</xdr:rowOff>
    </xdr:to>
    <xdr:pic>
      <xdr:nvPicPr>
        <xdr:cNvPr id="25" name="Graphic 24" descr="Star with solid fill">
          <a:extLst>
            <a:ext uri="{FF2B5EF4-FFF2-40B4-BE49-F238E27FC236}">
              <a16:creationId xmlns:a16="http://schemas.microsoft.com/office/drawing/2014/main" id="{6FDD4B68-0DC3-4FF3-1CDE-973BD044028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17226" y="861391"/>
          <a:ext cx="500100" cy="602799"/>
        </a:xfrm>
        <a:prstGeom prst="rect">
          <a:avLst/>
        </a:prstGeom>
      </xdr:spPr>
    </xdr:pic>
    <xdr:clientData/>
  </xdr:twoCellAnchor>
  <xdr:twoCellAnchor>
    <xdr:from>
      <xdr:col>53</xdr:col>
      <xdr:colOff>234672</xdr:colOff>
      <xdr:row>22</xdr:row>
      <xdr:rowOff>17977</xdr:rowOff>
    </xdr:from>
    <xdr:to>
      <xdr:col>56</xdr:col>
      <xdr:colOff>374322</xdr:colOff>
      <xdr:row>24</xdr:row>
      <xdr:rowOff>35697</xdr:rowOff>
    </xdr:to>
    <xdr:sp macro="" textlink="">
      <xdr:nvSpPr>
        <xdr:cNvPr id="32" name="TextBox 31">
          <a:extLst>
            <a:ext uri="{FF2B5EF4-FFF2-40B4-BE49-F238E27FC236}">
              <a16:creationId xmlns:a16="http://schemas.microsoft.com/office/drawing/2014/main" id="{FEF48FB0-DDC3-0951-6663-AB4E7A900A71}"/>
            </a:ext>
          </a:extLst>
        </xdr:cNvPr>
        <xdr:cNvSpPr txBox="1"/>
      </xdr:nvSpPr>
      <xdr:spPr>
        <a:xfrm rot="10800000" flipV="1">
          <a:off x="32426411" y="3673368"/>
          <a:ext cx="1961824" cy="349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b="1">
            <a:solidFill>
              <a:schemeClr val="accent3"/>
            </a:solidFill>
          </a:endParaRPr>
        </a:p>
      </xdr:txBody>
    </xdr:sp>
    <xdr:clientData/>
  </xdr:twoCellAnchor>
  <xdr:oneCellAnchor>
    <xdr:from>
      <xdr:col>4</xdr:col>
      <xdr:colOff>190500</xdr:colOff>
      <xdr:row>6</xdr:row>
      <xdr:rowOff>24849</xdr:rowOff>
    </xdr:from>
    <xdr:ext cx="1217543" cy="298174"/>
    <xdr:sp macro="" textlink="'PIVOT TABLES'!K28">
      <xdr:nvSpPr>
        <xdr:cNvPr id="34" name="TextBox 33">
          <a:extLst>
            <a:ext uri="{FF2B5EF4-FFF2-40B4-BE49-F238E27FC236}">
              <a16:creationId xmlns:a16="http://schemas.microsoft.com/office/drawing/2014/main" id="{5B69B3AB-6ABB-BAAB-55A5-2CBDB7C2F1E5}"/>
            </a:ext>
          </a:extLst>
        </xdr:cNvPr>
        <xdr:cNvSpPr txBox="1"/>
      </xdr:nvSpPr>
      <xdr:spPr>
        <a:xfrm>
          <a:off x="2642152" y="1018762"/>
          <a:ext cx="1217543" cy="298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100FE1A-BC05-4BF9-AA94-82209B9A580E}" type="TxLink">
            <a:rPr lang="en-US" sz="1000" b="1" i="0" u="none" strike="noStrike">
              <a:solidFill>
                <a:schemeClr val="accent3"/>
              </a:solidFill>
              <a:latin typeface="Arial"/>
              <a:cs typeface="Arial"/>
            </a:rPr>
            <a:pPr/>
            <a:t> ₹ 6,59,272.48 </a:t>
          </a:fld>
          <a:endParaRPr lang="en-IN" sz="1100" b="1">
            <a:solidFill>
              <a:schemeClr val="accent3"/>
            </a:solidFill>
          </a:endParaRPr>
        </a:p>
      </xdr:txBody>
    </xdr:sp>
    <xdr:clientData/>
  </xdr:oneCellAnchor>
  <xdr:oneCellAnchor>
    <xdr:from>
      <xdr:col>7</xdr:col>
      <xdr:colOff>538370</xdr:colOff>
      <xdr:row>6</xdr:row>
      <xdr:rowOff>24848</xdr:rowOff>
    </xdr:from>
    <xdr:ext cx="969066" cy="289891"/>
    <xdr:sp macro="" textlink="'PIVOT TABLES'!K29">
      <xdr:nvSpPr>
        <xdr:cNvPr id="35" name="TextBox 34">
          <a:extLst>
            <a:ext uri="{FF2B5EF4-FFF2-40B4-BE49-F238E27FC236}">
              <a16:creationId xmlns:a16="http://schemas.microsoft.com/office/drawing/2014/main" id="{31AEFB06-9CE0-1B2B-B321-759B293403FE}"/>
            </a:ext>
          </a:extLst>
        </xdr:cNvPr>
        <xdr:cNvSpPr txBox="1"/>
      </xdr:nvSpPr>
      <xdr:spPr>
        <a:xfrm>
          <a:off x="4828761" y="1018761"/>
          <a:ext cx="969066" cy="289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770EC54-6AF2-4F9C-9AD2-F5F1AF18426C}" type="TxLink">
            <a:rPr lang="en-US" sz="1000" b="1" i="0" u="none" strike="noStrike">
              <a:solidFill>
                <a:schemeClr val="accent3"/>
              </a:solidFill>
              <a:latin typeface="Arial"/>
              <a:cs typeface="Arial"/>
            </a:rPr>
            <a:pPr/>
            <a:t> ₹ 31,393.93 </a:t>
          </a:fld>
          <a:endParaRPr lang="en-IN" sz="1100" b="1">
            <a:solidFill>
              <a:schemeClr val="accent3"/>
            </a:solidFill>
          </a:endParaRPr>
        </a:p>
      </xdr:txBody>
    </xdr:sp>
    <xdr:clientData/>
  </xdr:oneCellAnchor>
  <xdr:oneCellAnchor>
    <xdr:from>
      <xdr:col>11</xdr:col>
      <xdr:colOff>455545</xdr:colOff>
      <xdr:row>6</xdr:row>
      <xdr:rowOff>8285</xdr:rowOff>
    </xdr:from>
    <xdr:ext cx="853108" cy="364048"/>
    <xdr:sp macro="" textlink="'PIVOT TABLES'!K30">
      <xdr:nvSpPr>
        <xdr:cNvPr id="36" name="TextBox 35">
          <a:extLst>
            <a:ext uri="{FF2B5EF4-FFF2-40B4-BE49-F238E27FC236}">
              <a16:creationId xmlns:a16="http://schemas.microsoft.com/office/drawing/2014/main" id="{0B754D2E-C8C2-D2A4-124E-0E31F2B7DFC9}"/>
            </a:ext>
          </a:extLst>
        </xdr:cNvPr>
        <xdr:cNvSpPr txBox="1"/>
      </xdr:nvSpPr>
      <xdr:spPr>
        <a:xfrm>
          <a:off x="7197588" y="1002198"/>
          <a:ext cx="853108" cy="3640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01EBBF4-CA21-477F-8EBF-9F46A32A218F}" type="TxLink">
            <a:rPr lang="en-US" sz="1000" b="1" i="0" u="none" strike="noStrike">
              <a:solidFill>
                <a:schemeClr val="accent3"/>
              </a:solidFill>
              <a:latin typeface="Arial"/>
              <a:cs typeface="Arial"/>
            </a:rPr>
            <a:pPr/>
            <a:t> 2,064 </a:t>
          </a:fld>
          <a:endParaRPr lang="en-IN" sz="1100" b="1">
            <a:solidFill>
              <a:schemeClr val="accent3"/>
            </a:solidFill>
          </a:endParaRPr>
        </a:p>
      </xdr:txBody>
    </xdr:sp>
    <xdr:clientData/>
  </xdr:oneCellAnchor>
  <xdr:oneCellAnchor>
    <xdr:from>
      <xdr:col>15</xdr:col>
      <xdr:colOff>530087</xdr:colOff>
      <xdr:row>6</xdr:row>
      <xdr:rowOff>8283</xdr:rowOff>
    </xdr:from>
    <xdr:ext cx="362920" cy="239809"/>
    <xdr:sp macro="" textlink="'PIVOT TABLES'!K31">
      <xdr:nvSpPr>
        <xdr:cNvPr id="37" name="TextBox 36">
          <a:extLst>
            <a:ext uri="{FF2B5EF4-FFF2-40B4-BE49-F238E27FC236}">
              <a16:creationId xmlns:a16="http://schemas.microsoft.com/office/drawing/2014/main" id="{684C3C91-C820-1C28-13F9-8964AB603DAD}"/>
            </a:ext>
          </a:extLst>
        </xdr:cNvPr>
        <xdr:cNvSpPr txBox="1"/>
      </xdr:nvSpPr>
      <xdr:spPr>
        <a:xfrm>
          <a:off x="9723783" y="1002196"/>
          <a:ext cx="36292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9B8304-0F00-4612-AC1C-113795344341}" type="TxLink">
            <a:rPr lang="en-US" sz="1000" b="1" i="0" u="none" strike="noStrike">
              <a:solidFill>
                <a:schemeClr val="accent3"/>
              </a:solidFill>
              <a:latin typeface="Arial"/>
              <a:cs typeface="Arial"/>
            </a:rPr>
            <a:pPr/>
            <a:t>7.2</a:t>
          </a:fld>
          <a:endParaRPr lang="en-IN" sz="1100" b="1">
            <a:solidFill>
              <a:schemeClr val="accent3"/>
            </a:solidFill>
          </a:endParaRPr>
        </a:p>
      </xdr:txBody>
    </xdr:sp>
    <xdr:clientData/>
  </xdr:oneCellAnchor>
  <xdr:oneCellAnchor>
    <xdr:from>
      <xdr:col>13</xdr:col>
      <xdr:colOff>447266</xdr:colOff>
      <xdr:row>14</xdr:row>
      <xdr:rowOff>157369</xdr:rowOff>
    </xdr:from>
    <xdr:ext cx="215345" cy="1452157"/>
    <xdr:sp macro="" textlink="">
      <xdr:nvSpPr>
        <xdr:cNvPr id="38" name="TextBox 37">
          <a:extLst>
            <a:ext uri="{FF2B5EF4-FFF2-40B4-BE49-F238E27FC236}">
              <a16:creationId xmlns:a16="http://schemas.microsoft.com/office/drawing/2014/main" id="{67C2B79C-D843-F7F9-7CBF-EE269F95CB5D}"/>
            </a:ext>
          </a:extLst>
        </xdr:cNvPr>
        <xdr:cNvSpPr txBox="1"/>
      </xdr:nvSpPr>
      <xdr:spPr>
        <a:xfrm rot="16200000">
          <a:off x="7796730" y="3103188"/>
          <a:ext cx="1452157" cy="2153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solidFill>
                <a:schemeClr val="accent3"/>
              </a:solidFill>
            </a:rPr>
            <a:t>Sum Of Total Values</a:t>
          </a:r>
        </a:p>
      </xdr:txBody>
    </xdr:sp>
    <xdr:clientData/>
  </xdr:oneCellAnchor>
  <xdr:twoCellAnchor>
    <xdr:from>
      <xdr:col>13</xdr:col>
      <xdr:colOff>391602</xdr:colOff>
      <xdr:row>10</xdr:row>
      <xdr:rowOff>150628</xdr:rowOff>
    </xdr:from>
    <xdr:to>
      <xdr:col>23</xdr:col>
      <xdr:colOff>10602</xdr:colOff>
      <xdr:row>27</xdr:row>
      <xdr:rowOff>150628</xdr:rowOff>
    </xdr:to>
    <xdr:graphicFrame macro="">
      <xdr:nvGraphicFramePr>
        <xdr:cNvPr id="18" name="Chart 17">
          <a:extLst>
            <a:ext uri="{FF2B5EF4-FFF2-40B4-BE49-F238E27FC236}">
              <a16:creationId xmlns:a16="http://schemas.microsoft.com/office/drawing/2014/main" id="{0CB0E484-1CB7-470E-864B-56BC4514E8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180230</xdr:colOff>
      <xdr:row>28</xdr:row>
      <xdr:rowOff>13916</xdr:rowOff>
    </xdr:from>
    <xdr:to>
      <xdr:col>23</xdr:col>
      <xdr:colOff>17721</xdr:colOff>
      <xdr:row>44</xdr:row>
      <xdr:rowOff>132907</xdr:rowOff>
    </xdr:to>
    <xdr:graphicFrame macro="">
      <xdr:nvGraphicFramePr>
        <xdr:cNvPr id="20" name="Chart 19">
          <a:extLst>
            <a:ext uri="{FF2B5EF4-FFF2-40B4-BE49-F238E27FC236}">
              <a16:creationId xmlns:a16="http://schemas.microsoft.com/office/drawing/2014/main" id="{9CDD5B9B-C088-4E5F-957A-C8220A5D1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212650</xdr:colOff>
      <xdr:row>10</xdr:row>
      <xdr:rowOff>166423</xdr:rowOff>
    </xdr:from>
    <xdr:to>
      <xdr:col>13</xdr:col>
      <xdr:colOff>363278</xdr:colOff>
      <xdr:row>28</xdr:row>
      <xdr:rowOff>35442</xdr:rowOff>
    </xdr:to>
    <xdr:graphicFrame macro="">
      <xdr:nvGraphicFramePr>
        <xdr:cNvPr id="22" name="Chart 21">
          <a:extLst>
            <a:ext uri="{FF2B5EF4-FFF2-40B4-BE49-F238E27FC236}">
              <a16:creationId xmlns:a16="http://schemas.microsoft.com/office/drawing/2014/main" id="{563F6568-EDBD-4AC4-AE17-F85FD6B7D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552946</xdr:colOff>
      <xdr:row>28</xdr:row>
      <xdr:rowOff>13916</xdr:rowOff>
    </xdr:from>
    <xdr:to>
      <xdr:col>16</xdr:col>
      <xdr:colOff>150628</xdr:colOff>
      <xdr:row>44</xdr:row>
      <xdr:rowOff>150628</xdr:rowOff>
    </xdr:to>
    <xdr:graphicFrame macro="">
      <xdr:nvGraphicFramePr>
        <xdr:cNvPr id="24" name="Chart 23">
          <a:extLst>
            <a:ext uri="{FF2B5EF4-FFF2-40B4-BE49-F238E27FC236}">
              <a16:creationId xmlns:a16="http://schemas.microsoft.com/office/drawing/2014/main" id="{38272EE4-8DEB-453D-8D1F-8B09C81D3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177210</xdr:colOff>
      <xdr:row>28</xdr:row>
      <xdr:rowOff>1</xdr:rowOff>
    </xdr:from>
    <xdr:to>
      <xdr:col>10</xdr:col>
      <xdr:colOff>513907</xdr:colOff>
      <xdr:row>44</xdr:row>
      <xdr:rowOff>141768</xdr:rowOff>
    </xdr:to>
    <xdr:graphicFrame macro="">
      <xdr:nvGraphicFramePr>
        <xdr:cNvPr id="26" name="Chart 25">
          <a:extLst>
            <a:ext uri="{FF2B5EF4-FFF2-40B4-BE49-F238E27FC236}">
              <a16:creationId xmlns:a16="http://schemas.microsoft.com/office/drawing/2014/main" id="{9B7548A5-7445-4811-83D3-BF92D261A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75291</xdr:colOff>
      <xdr:row>11</xdr:row>
      <xdr:rowOff>19379</xdr:rowOff>
    </xdr:from>
    <xdr:to>
      <xdr:col>3</xdr:col>
      <xdr:colOff>152595</xdr:colOff>
      <xdr:row>22</xdr:row>
      <xdr:rowOff>19380</xdr:rowOff>
    </xdr:to>
    <mc:AlternateContent xmlns:mc="http://schemas.openxmlformats.org/markup-compatibility/2006">
      <mc:Choice xmlns:a14="http://schemas.microsoft.com/office/drawing/2010/main" Requires="a14">
        <xdr:graphicFrame macro="">
          <xdr:nvGraphicFramePr>
            <xdr:cNvPr id="16" name="Product line">
              <a:extLst>
                <a:ext uri="{FF2B5EF4-FFF2-40B4-BE49-F238E27FC236}">
                  <a16:creationId xmlns:a16="http://schemas.microsoft.com/office/drawing/2014/main" id="{80A0C847-7042-4D27-92EF-8EE636D819D4}"/>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75291" y="1860879"/>
              <a:ext cx="1910867" cy="1833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91284</xdr:colOff>
      <xdr:row>22</xdr:row>
      <xdr:rowOff>108100</xdr:rowOff>
    </xdr:from>
    <xdr:to>
      <xdr:col>3</xdr:col>
      <xdr:colOff>146501</xdr:colOff>
      <xdr:row>29</xdr:row>
      <xdr:rowOff>74069</xdr:rowOff>
    </xdr:to>
    <mc:AlternateContent xmlns:mc="http://schemas.openxmlformats.org/markup-compatibility/2006">
      <mc:Choice xmlns:a14="http://schemas.microsoft.com/office/drawing/2010/main" Requires="a14">
        <xdr:graphicFrame macro="">
          <xdr:nvGraphicFramePr>
            <xdr:cNvPr id="27" name="City">
              <a:extLst>
                <a:ext uri="{FF2B5EF4-FFF2-40B4-BE49-F238E27FC236}">
                  <a16:creationId xmlns:a16="http://schemas.microsoft.com/office/drawing/2014/main" id="{6F59FF20-F50B-453A-80A3-A31FDF6E233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1284" y="3783163"/>
              <a:ext cx="1888780" cy="1132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80860</xdr:colOff>
      <xdr:row>29</xdr:row>
      <xdr:rowOff>71054</xdr:rowOff>
    </xdr:from>
    <xdr:to>
      <xdr:col>3</xdr:col>
      <xdr:colOff>155403</xdr:colOff>
      <xdr:row>35</xdr:row>
      <xdr:rowOff>160639</xdr:rowOff>
    </xdr:to>
    <mc:AlternateContent xmlns:mc="http://schemas.openxmlformats.org/markup-compatibility/2006">
      <mc:Choice xmlns:a14="http://schemas.microsoft.com/office/drawing/2010/main" Requires="a14">
        <xdr:graphicFrame macro="">
          <xdr:nvGraphicFramePr>
            <xdr:cNvPr id="28" name="Branch">
              <a:extLst>
                <a:ext uri="{FF2B5EF4-FFF2-40B4-BE49-F238E27FC236}">
                  <a16:creationId xmlns:a16="http://schemas.microsoft.com/office/drawing/2014/main" id="{3EDC65EE-AE55-404A-9EF1-F6300CFC71D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0860" y="4912929"/>
              <a:ext cx="1908106" cy="1089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253999</xdr:colOff>
      <xdr:row>1</xdr:row>
      <xdr:rowOff>60477</xdr:rowOff>
    </xdr:from>
    <xdr:to>
      <xdr:col>3</xdr:col>
      <xdr:colOff>0</xdr:colOff>
      <xdr:row>10</xdr:row>
      <xdr:rowOff>36284</xdr:rowOff>
    </xdr:to>
    <xdr:pic>
      <xdr:nvPicPr>
        <xdr:cNvPr id="30" name="Graphic 29" descr="Bar graph with upward trend with solid fill">
          <a:extLst>
            <a:ext uri="{FF2B5EF4-FFF2-40B4-BE49-F238E27FC236}">
              <a16:creationId xmlns:a16="http://schemas.microsoft.com/office/drawing/2014/main" id="{FBA242E9-185B-B63B-9E40-8CBDCC2B48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16"/>
            </a:ext>
          </a:extLst>
        </a:blip>
        <a:stretch>
          <a:fillRect/>
        </a:stretch>
      </xdr:blipFill>
      <xdr:spPr>
        <a:xfrm>
          <a:off x="253999" y="229810"/>
          <a:ext cx="1560287" cy="1499807"/>
        </a:xfrm>
        <a:prstGeom prst="rect">
          <a:avLst/>
        </a:prstGeom>
      </xdr:spPr>
    </xdr:pic>
    <xdr:clientData/>
  </xdr:twoCellAnchor>
  <xdr:twoCellAnchor editAs="oneCell">
    <xdr:from>
      <xdr:col>3</xdr:col>
      <xdr:colOff>589141</xdr:colOff>
      <xdr:row>0</xdr:row>
      <xdr:rowOff>126158</xdr:rowOff>
    </xdr:from>
    <xdr:to>
      <xdr:col>5</xdr:col>
      <xdr:colOff>288170</xdr:colOff>
      <xdr:row>4</xdr:row>
      <xdr:rowOff>65522</xdr:rowOff>
    </xdr:to>
    <xdr:pic>
      <xdr:nvPicPr>
        <xdr:cNvPr id="33" name="Graphic 32" descr="Upward trend with solid fill">
          <a:extLst>
            <a:ext uri="{FF2B5EF4-FFF2-40B4-BE49-F238E27FC236}">
              <a16:creationId xmlns:a16="http://schemas.microsoft.com/office/drawing/2014/main" id="{71C30831-B20A-7BA6-F54F-AA0B13EF017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420969" y="126158"/>
          <a:ext cx="920247" cy="605483"/>
        </a:xfrm>
        <a:prstGeom prst="rect">
          <a:avLst/>
        </a:prstGeom>
      </xdr:spPr>
    </xdr:pic>
    <xdr:clientData/>
  </xdr:twoCellAnchor>
  <xdr:twoCellAnchor editAs="oneCell">
    <xdr:from>
      <xdr:col>18</xdr:col>
      <xdr:colOff>105382</xdr:colOff>
      <xdr:row>0</xdr:row>
      <xdr:rowOff>97278</xdr:rowOff>
    </xdr:from>
    <xdr:to>
      <xdr:col>23</xdr:col>
      <xdr:colOff>8105</xdr:colOff>
      <xdr:row>10</xdr:row>
      <xdr:rowOff>113489</xdr:rowOff>
    </xdr:to>
    <mc:AlternateContent xmlns:mc="http://schemas.openxmlformats.org/markup-compatibility/2006">
      <mc:Choice xmlns:tsle="http://schemas.microsoft.com/office/drawing/2012/timeslicer" Requires="tsle">
        <xdr:graphicFrame macro="">
          <xdr:nvGraphicFramePr>
            <xdr:cNvPr id="40" name="Date 1">
              <a:extLst>
                <a:ext uri="{FF2B5EF4-FFF2-40B4-BE49-F238E27FC236}">
                  <a16:creationId xmlns:a16="http://schemas.microsoft.com/office/drawing/2014/main" id="{38247AB8-9EC5-4263-BF4C-27CDCAAA2CCB}"/>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1106757" y="97278"/>
              <a:ext cx="2958661" cy="16910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107323</xdr:colOff>
      <xdr:row>36</xdr:row>
      <xdr:rowOff>127901</xdr:rowOff>
    </xdr:from>
    <xdr:to>
      <xdr:col>3</xdr:col>
      <xdr:colOff>112187</xdr:colOff>
      <xdr:row>43</xdr:row>
      <xdr:rowOff>162128</xdr:rowOff>
    </xdr:to>
    <mc:AlternateContent xmlns:mc="http://schemas.openxmlformats.org/markup-compatibility/2006">
      <mc:Choice xmlns:a14="http://schemas.microsoft.com/office/drawing/2010/main" Requires="a14">
        <xdr:graphicFrame macro="">
          <xdr:nvGraphicFramePr>
            <xdr:cNvPr id="41" name="Gender 1">
              <a:extLst>
                <a:ext uri="{FF2B5EF4-FFF2-40B4-BE49-F238E27FC236}">
                  <a16:creationId xmlns:a16="http://schemas.microsoft.com/office/drawing/2014/main" id="{E3D9142A-3EF6-43F5-8143-B605076D0C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7323" y="6136589"/>
              <a:ext cx="1838427" cy="12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ndra yadav" refreshedDate="46173.780760532405" createdVersion="8" refreshedVersion="8" minRefreshableVersion="3" recordCount="2064" xr:uid="{87E8B7FD-1EF9-4C15-ACAA-EA7B951AA1C0}">
  <cacheSource type="worksheet">
    <worksheetSource name="sales"/>
  </cacheSource>
  <cacheFields count="21">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10.6785"/>
        <n v="12.6945"/>
        <n v="13.167"/>
        <n v="13.419"/>
        <n v="14.679"/>
        <n v="16.106999999999999"/>
        <n v="16.201499999999999"/>
        <n v="16.274999999999999"/>
        <n v="17.094000000000001"/>
        <n v="18.637499999999999"/>
        <n v="19.193999999999999"/>
        <n v="19.246500000000001"/>
        <n v="20.107500000000002"/>
        <n v="20.684999999999999"/>
        <n v="22.385999999999999"/>
        <n v="22.658999999999999"/>
        <n v="23.498999999999999"/>
        <n v="23.751000000000001"/>
        <n v="24.108000000000001"/>
        <n v="25.263000000000002"/>
        <n v="26.25"/>
        <n v="26.554500000000001"/>
        <n v="26.7225"/>
        <n v="26.733000000000001"/>
        <n v="26.795999999999999"/>
        <n v="28.423500000000001"/>
        <n v="30.219000000000001"/>
        <n v="30.408000000000001"/>
        <n v="30.995999999999999"/>
        <n v="31.227"/>
        <n v="31.751999999999999"/>
        <n v="31.930499999999999"/>
        <n v="32.140500000000003"/>
        <n v="32.151000000000003"/>
        <n v="32.277000000000001"/>
        <n v="32.529000000000003"/>
        <n v="33.358499999999999"/>
        <n v="33.432000000000002"/>
        <n v="33.494999999999997"/>
        <n v="33.936"/>
        <n v="34.628999999999998"/>
        <n v="35.195999999999998"/>
        <n v="35.311500000000002"/>
        <n v="36.5505"/>
        <n v="37.610999999999997"/>
        <n v="37.6845"/>
        <n v="38.85"/>
        <n v="40.341000000000001"/>
        <n v="40.53"/>
        <n v="40.960500000000003"/>
        <n v="41.076000000000001"/>
        <n v="41.390999999999998"/>
        <n v="41.454000000000001"/>
        <n v="41.737499999999997"/>
        <n v="42.3675"/>
        <n v="43.869"/>
        <n v="44.351999999999997"/>
        <n v="44.593499999999999"/>
        <n v="44.9925"/>
        <n v="45.107999999999997"/>
        <n v="45.927"/>
        <n v="46.683"/>
        <n v="47.859000000000002"/>
        <n v="48.51"/>
        <n v="48.730499999999999"/>
        <n v="49.308"/>
        <n v="49.423499999999997"/>
        <n v="49.77"/>
        <n v="49.811999999999998"/>
        <n v="51.040500000000002"/>
        <n v="51.145499999999998"/>
        <n v="53.151000000000003"/>
        <n v="53.34"/>
        <n v="53.927999999999997"/>
        <n v="54.043500000000002"/>
        <n v="54.967500000000001"/>
        <n v="54.999000000000002"/>
        <n v="55.040999999999997"/>
        <n v="55.282499999999999"/>
        <n v="55.881"/>
        <n v="56.122500000000002"/>
        <n v="56.405999999999999"/>
        <n v="56.469000000000001"/>
        <n v="56.951999999999998"/>
        <n v="57.078000000000003"/>
        <n v="57.172499999999999"/>
        <n v="57.697499999999998"/>
        <n v="57.875999999999998"/>
        <n v="58.222499999999997"/>
        <n v="59.325000000000003"/>
        <n v="60.816000000000003"/>
        <n v="62.002499999999998"/>
        <n v="63.262500000000003"/>
        <n v="63.314999999999998"/>
        <n v="63.913499999999999"/>
        <n v="63.997500000000002"/>
        <n v="65.603999999999999"/>
        <n v="65.740499999999997"/>
        <n v="66.402000000000001"/>
        <n v="66.874499999999998"/>
        <n v="68.239500000000007"/>
        <n v="68.984999999999999"/>
        <n v="69.09"/>
        <n v="69.111000000000004"/>
        <n v="69.405000000000001"/>
        <n v="69.667500000000004"/>
        <n v="69.72"/>
        <n v="69.992999999999995"/>
        <n v="70.287000000000006"/>
        <n v="71.158500000000004"/>
        <n v="71.525999999999996"/>
        <n v="71.567999999999998"/>
        <n v="72.009"/>
        <n v="72.397499999999994"/>
        <n v="72.429000000000002"/>
        <n v="72.87"/>
        <n v="72.933000000000007"/>
        <n v="74.087999999999994"/>
        <n v="74.455500000000001"/>
        <n v="74.707499999999996"/>
        <n v="74.760000000000005"/>
        <n v="75.054000000000002"/>
        <n v="75.474000000000004"/>
        <n v="75.547499999999999"/>
        <n v="75.778499999999994"/>
        <n v="75.936000000000007"/>
        <n v="76.146000000000001"/>
        <n v="76.355999999999995"/>
        <n v="76.576499999999996"/>
        <n v="76.754999999999995"/>
        <n v="76.923000000000002"/>
        <n v="77.174999999999997"/>
        <n v="77.658000000000001"/>
        <n v="77.668499999999995"/>
        <n v="77.773499999999999"/>
        <n v="77.805000000000007"/>
        <n v="77.930999999999997"/>
        <n v="78.004499999999993"/>
        <n v="78.435000000000002"/>
        <n v="78.602999999999994"/>
        <n v="78.718500000000006"/>
        <n v="79.149000000000001"/>
        <n v="79.611000000000004"/>
        <n v="79.674000000000007"/>
        <n v="80.22"/>
        <n v="80.367000000000004"/>
        <n v="80.661000000000001"/>
        <n v="80.954999999999998"/>
        <n v="81.396000000000001"/>
        <n v="82.718999999999994"/>
        <n v="82.887"/>
        <n v="83.412000000000006"/>
        <n v="83.727000000000004"/>
        <n v="84.63"/>
        <n v="84.745500000000007"/>
        <n v="84.756"/>
        <n v="84.976500000000001"/>
        <n v="85.113"/>
        <n v="85.302000000000007"/>
        <n v="85.512"/>
        <n v="85.585499999999996"/>
        <n v="85.742999999999995"/>
        <n v="86.247"/>
        <n v="86.625"/>
        <n v="87.233999999999995"/>
        <n v="88.367999999999995"/>
        <n v="88.703999999999994"/>
        <n v="89.0715"/>
        <n v="90.3"/>
        <n v="90.583500000000001"/>
        <n v="90.698999999999998"/>
        <n v="90.825000000000003"/>
        <n v="90.867000000000004"/>
        <n v="91.055999999999997"/>
        <n v="91.402500000000003"/>
        <n v="91.56"/>
        <n v="91.77"/>
        <n v="91.822500000000005"/>
        <n v="92.295000000000002"/>
        <n v="92.441999999999993"/>
        <n v="92.557500000000005"/>
        <n v="92.725499999999997"/>
        <n v="92.872500000000002"/>
        <n v="93.040499999999994"/>
        <n v="93.114000000000004"/>
        <n v="93.292500000000004"/>
        <n v="93.744"/>
        <n v="94.174499999999995"/>
        <n v="94.185000000000002"/>
        <n v="94.237499999999997"/>
        <n v="95.665499999999994"/>
        <n v="95.864999999999995"/>
        <n v="95.917500000000004"/>
        <n v="96.138000000000005"/>
        <n v="96.1905"/>
        <n v="96.578999999999994"/>
        <n v="96.641999999999996"/>
        <n v="97.418999999999997"/>
        <n v="97.817999999999998"/>
        <n v="97.881"/>
        <n v="98.028000000000006"/>
        <n v="98.049000000000007"/>
        <n v="99.33"/>
        <n v="99.54"/>
        <n v="99.75"/>
        <n v="99.907499999999999"/>
        <n v="100.128"/>
        <n v="100.485"/>
        <n v="100.91549999999999"/>
        <n v="101.64"/>
        <n v="101.80800000000001"/>
        <n v="102.018"/>
        <n v="102.396"/>
        <n v="102.837"/>
        <n v="103.0365"/>
        <n v="103.11"/>
        <n v="103.131"/>
        <n v="103.63500000000001"/>
        <n v="103.782"/>
        <n v="103.824"/>
        <n v="104.67449999999999"/>
        <n v="104.83199999999999"/>
        <n v="106.50149999999999"/>
        <n v="106.596"/>
        <n v="106.995"/>
        <n v="107.142"/>
        <n v="107.31"/>
        <n v="110.0925"/>
        <n v="110.124"/>
        <n v="112.224"/>
        <n v="113.568"/>
        <n v="115.08"/>
        <n v="115.185"/>
        <n v="116.1405"/>
        <n v="116.907"/>
        <n v="117.831"/>
        <n v="118.062"/>
        <n v="118.251"/>
        <n v="118.902"/>
        <n v="119.259"/>
        <n v="120.16200000000001"/>
        <n v="120.645"/>
        <n v="121.128"/>
        <n v="121.569"/>
        <n v="121.59"/>
        <n v="121.863"/>
        <n v="122.47199999999999"/>
        <n v="122.5245"/>
        <n v="125.05500000000001"/>
        <n v="125.517"/>
        <n v="125.664"/>
        <n v="125.706"/>
        <n v="125.7165"/>
        <n v="125.979"/>
        <n v="127.26"/>
        <n v="127.827"/>
        <n v="128.01599999999999"/>
        <n v="128.4255"/>
        <n v="130.03200000000001"/>
        <n v="130.04249999999999"/>
        <n v="130.88249999999999"/>
        <n v="131.208"/>
        <n v="131.922"/>
        <n v="132.02699999999999"/>
        <n v="132.5625"/>
        <n v="132.762"/>
        <n v="133.35"/>
        <n v="133.434"/>
        <n v="133.917"/>
        <n v="135.35550000000001"/>
        <n v="135.44999999999999"/>
        <n v="135.57599999999999"/>
        <n v="136.143"/>
        <n v="137.00399999999999"/>
        <n v="137.86500000000001"/>
        <n v="138.1275"/>
        <n v="138.66300000000001"/>
        <n v="138.97800000000001"/>
        <n v="139.923"/>
        <n v="140.38499999999999"/>
        <n v="140.64750000000001"/>
        <n v="141.75"/>
        <n v="142.00200000000001"/>
        <n v="142.947"/>
        <n v="143.22"/>
        <n v="143.98650000000001"/>
        <n v="144.08099999999999"/>
        <n v="144.96299999999999"/>
        <n v="145.06800000000001"/>
        <n v="145.404"/>
        <n v="145.58250000000001"/>
        <n v="145.59299999999999"/>
        <n v="145.74"/>
        <n v="145.971"/>
        <n v="146.22300000000001"/>
        <n v="146.328"/>
        <n v="146.63249999999999"/>
        <n v="146.94749999999999"/>
        <n v="147.672"/>
        <n v="147.798"/>
        <n v="148.68"/>
        <n v="148.97399999999999"/>
        <n v="148.995"/>
        <n v="149.36250000000001"/>
        <n v="150.0975"/>
        <n v="150.423"/>
        <n v="150.78"/>
        <n v="151.28399999999999"/>
        <n v="151.48349999999999"/>
        <n v="151.51499999999999"/>
        <n v="152.01900000000001"/>
        <n v="152.71199999999999"/>
        <n v="152.77500000000001"/>
        <n v="152.83799999999999"/>
        <n v="153.048"/>
        <n v="154.12950000000001"/>
        <n v="154.392"/>
        <n v="155.19"/>
        <n v="155.65199999999999"/>
        <n v="156.03"/>
        <n v="160.209"/>
        <n v="160.44"/>
        <n v="160.86000000000001"/>
        <n v="161.553"/>
        <n v="161.69999999999999"/>
        <n v="162.75"/>
        <n v="163.00200000000001"/>
        <n v="163.233"/>
        <n v="163.61099999999999"/>
        <n v="164.43"/>
        <n v="164.68199999999999"/>
        <n v="164.87100000000001"/>
        <n v="165.12299999999999"/>
        <n v="165.4485"/>
        <n v="165.648"/>
        <n v="165.9"/>
        <n v="166.005"/>
        <n v="166.16249999999999"/>
        <n v="166.23599999999999"/>
        <n v="166.63499999999999"/>
        <n v="167.03399999999999"/>
        <n v="167.58"/>
        <n v="167.89500000000001"/>
        <n v="168.21"/>
        <n v="169.3125"/>
        <n v="170.87700000000001"/>
        <n v="171.72749999999999"/>
        <n v="172.011"/>
        <n v="172.2105"/>
        <n v="172.494"/>
        <n v="172.74600000000001"/>
        <n v="173.208"/>
        <n v="174.3"/>
        <n v="174.61500000000001"/>
        <n v="175.01400000000001"/>
        <n v="175.035"/>
        <n v="175.0455"/>
        <n v="175.14"/>
        <n v="175.917"/>
        <n v="176.4"/>
        <n v="176.92500000000001"/>
        <n v="177.40799999999999"/>
        <n v="178.16399999999999"/>
        <n v="180.40049999999999"/>
        <n v="180.6"/>
        <n v="180.62100000000001"/>
        <n v="180.87299999999999"/>
        <n v="181.07249999999999"/>
        <n v="181.44"/>
        <n v="181.81800000000001"/>
        <n v="181.881"/>
        <n v="182.42699999999999"/>
        <n v="182.91"/>
        <n v="182.952"/>
        <n v="183.036"/>
        <n v="183.12"/>
        <n v="183.64500000000001"/>
        <n v="184.08600000000001"/>
        <n v="184.107"/>
        <n v="185.09399999999999"/>
        <n v="185.36699999999999"/>
        <n v="186.22800000000001"/>
        <n v="187.32"/>
        <n v="187.86600000000001"/>
        <n v="188.0025"/>
        <n v="189.09450000000001"/>
        <n v="190.155"/>
        <n v="190.48050000000001"/>
        <n v="190.596"/>
        <n v="191.24700000000001"/>
        <n v="192.84299999999999"/>
        <n v="193.011"/>
        <n v="193.07400000000001"/>
        <n v="193.46250000000001"/>
        <n v="194.124"/>
        <n v="194.98500000000001"/>
        <n v="195.17400000000001"/>
        <n v="195.25800000000001"/>
        <n v="195.59399999999999"/>
        <n v="195.678"/>
        <n v="195.72"/>
        <n v="195.95099999999999"/>
        <n v="196.14"/>
        <n v="197.92500000000001"/>
        <n v="198.63900000000001"/>
        <n v="198.99600000000001"/>
        <n v="200.214"/>
        <n v="202.33500000000001"/>
        <n v="202.81800000000001"/>
        <n v="203.11199999999999"/>
        <n v="203.17500000000001"/>
        <n v="203.553"/>
        <n v="203.93100000000001"/>
        <n v="204.24600000000001"/>
        <n v="204.69749999999999"/>
        <n v="205.31700000000001"/>
        <n v="206.43"/>
        <n v="206.79750000000001"/>
        <n v="206.80799999999999"/>
        <n v="207.48"/>
        <n v="207.58500000000001"/>
        <n v="207.858"/>
        <n v="208.089"/>
        <n v="208.42500000000001"/>
        <n v="208.67699999999999"/>
        <n v="208.6875"/>
        <n v="209.11799999999999"/>
        <n v="209.559"/>
        <n v="209.62200000000001"/>
        <n v="209.76900000000001"/>
        <n v="210.96600000000001"/>
        <n v="211.36500000000001"/>
        <n v="212.68799999999999"/>
        <n v="212.73"/>
        <n v="212.7825"/>
        <n v="213.52799999999999"/>
        <n v="214.137"/>
        <n v="214.74600000000001"/>
        <n v="214.935"/>
        <n v="214.99799999999999"/>
        <n v="216.4365"/>
        <n v="216.6885"/>
        <n v="216.846"/>
        <n v="217.18199999999999"/>
        <n v="217.25550000000001"/>
        <n v="217.6335"/>
        <n v="218.01150000000001"/>
        <n v="218.0745"/>
        <n v="221.886"/>
        <n v="222.012"/>
        <n v="222.13800000000001"/>
        <n v="223.07249999999999"/>
        <n v="223.58699999999999"/>
        <n v="224.4375"/>
        <n v="225.01499999999999"/>
        <n v="225.2775"/>
        <n v="225.792"/>
        <n v="226.065"/>
        <n v="228.12299999999999"/>
        <n v="229.11"/>
        <n v="231.2415"/>
        <n v="232.155"/>
        <n v="232.63800000000001"/>
        <n v="233.1"/>
        <n v="233.226"/>
        <n v="233.52"/>
        <n v="234.0975"/>
        <n v="235.2105"/>
        <n v="235.68299999999999"/>
        <n v="235.74600000000001"/>
        <n v="235.87200000000001"/>
        <n v="236.88"/>
        <n v="237.42599999999999"/>
        <n v="239.4"/>
        <n v="239.589"/>
        <n v="240.97499999999999"/>
        <n v="241.458"/>
        <n v="242.67599999999999"/>
        <n v="244.23"/>
        <n v="246.48750000000001"/>
        <n v="246.6765"/>
        <n v="247.59"/>
        <n v="247.87350000000001"/>
        <n v="248.40899999999999"/>
        <n v="250.27799999999999"/>
        <n v="250.70849999999999"/>
        <n v="251.7165"/>
        <n v="252.042"/>
        <n v="252.25200000000001"/>
        <n v="252.756"/>
        <n v="253.00800000000001"/>
        <n v="253.26"/>
        <n v="253.512"/>
        <n v="253.68"/>
        <n v="254.01599999999999"/>
        <n v="255.15"/>
        <n v="255.1815"/>
        <n v="256.41000000000003"/>
        <n v="256.77749999999997"/>
        <n v="257.14499999999998"/>
        <n v="258.678"/>
        <n v="259.77"/>
        <n v="261.19799999999998"/>
        <n v="262.45800000000003"/>
        <n v="262.79399999999998"/>
        <n v="263.13"/>
        <n v="263.97000000000003"/>
        <n v="264.75749999999999"/>
        <n v="265.10399999999998"/>
        <n v="266.02800000000002"/>
        <n v="266.64749999999998"/>
        <n v="267.34050000000002"/>
        <n v="269.53500000000003"/>
        <n v="269.93400000000003"/>
        <n v="270.01799999999997"/>
        <n v="270.2595"/>
        <n v="270.58499999999998"/>
        <n v="271.27800000000002"/>
        <n v="271.2885"/>
        <n v="271.95"/>
        <n v="272.58"/>
        <n v="272.66399999999999"/>
        <n v="273.05250000000001"/>
        <n v="273.42"/>
        <n v="273.798"/>
        <n v="276.94799999999998"/>
        <n v="277.137"/>
        <n v="277.67250000000001"/>
        <n v="277.78800000000001"/>
        <n v="279.18450000000001"/>
        <n v="279.38400000000001"/>
        <n v="280.03500000000003"/>
        <n v="281.16899999999998"/>
        <n v="282.49200000000002"/>
        <n v="282.57600000000002"/>
        <n v="284.19299999999998"/>
        <n v="284.59199999999998"/>
        <n v="284.91750000000002"/>
        <n v="285.70499999999998"/>
        <n v="287.91000000000003"/>
        <n v="288.01499999999999"/>
        <n v="288.20400000000001"/>
        <n v="288.58199999999999"/>
        <n v="289.92599999999999"/>
        <n v="290.08350000000002"/>
        <n v="290.43"/>
        <n v="291.20699999999999"/>
        <n v="291.43799999999999"/>
        <n v="293.13900000000001"/>
        <n v="293.202"/>
        <n v="293.64299999999997"/>
        <n v="294.65100000000001"/>
        <n v="295.40699999999998"/>
        <n v="295.69049999999999"/>
        <n v="296.94"/>
        <n v="297.108"/>
        <n v="297.80099999999999"/>
        <n v="298.11599999999999"/>
        <n v="299.3655"/>
        <n v="299.565"/>
        <n v="299.8485"/>
        <n v="300.21600000000001"/>
        <n v="300.57299999999998"/>
        <n v="304.54199999999997"/>
        <n v="304.92"/>
        <n v="304.983"/>
        <n v="305.55"/>
        <n v="306.81"/>
        <n v="308.57400000000001"/>
        <n v="308.91000000000003"/>
        <n v="309.36149999999998"/>
        <n v="310.04399999999998"/>
        <n v="310.58999999999997"/>
        <n v="310.71600000000001"/>
        <n v="311.18849999999998"/>
        <n v="312.8895"/>
        <n v="313.572"/>
        <n v="313.74"/>
        <n v="314.05500000000001"/>
        <n v="314.53800000000001"/>
        <n v="314.685"/>
        <n v="316.47000000000003"/>
        <n v="317.226"/>
        <n v="317.83499999999998"/>
        <n v="318.108"/>
        <n v="319.78800000000001"/>
        <n v="321.11099999999999"/>
        <n v="321.77249999999998"/>
        <n v="323.06400000000002"/>
        <n v="323.14800000000002"/>
        <n v="324.29250000000002"/>
        <n v="325.37400000000002"/>
        <n v="326.25599999999997"/>
        <n v="326.42399999999998"/>
        <n v="328.755"/>
        <n v="329.19600000000003"/>
        <n v="331.12799999999999"/>
        <n v="333.20699999999999"/>
        <n v="333.95249999999999"/>
        <n v="333.98399999999998"/>
        <n v="334.34100000000001"/>
        <n v="334.47750000000002"/>
        <n v="335.01299999999998"/>
        <n v="335.89499999999998"/>
        <n v="336.55650000000003"/>
        <n v="337.512"/>
        <n v="338.21550000000002"/>
        <n v="338.31"/>
        <n v="339.36"/>
        <n v="340.52550000000002"/>
        <n v="341.09249999999997"/>
        <n v="343.05599999999998"/>
        <n v="343.22399999999999"/>
        <n v="343.41300000000001"/>
        <n v="344.4"/>
        <n v="345.01949999999999"/>
        <n v="345.786"/>
        <n v="348.30599999999998"/>
        <n v="348.70499999999998"/>
        <n v="350.07"/>
        <n v="351.09899999999999"/>
        <n v="351.60300000000001"/>
        <n v="352.22250000000003"/>
        <n v="352.5795"/>
        <n v="352.67399999999998"/>
        <n v="353.09399999999999"/>
        <n v="353.16750000000002"/>
        <n v="354.00749999999999"/>
        <n v="356.32799999999997"/>
        <n v="356.54849999999999"/>
        <n v="357.58800000000002"/>
        <n v="359.20499999999998"/>
        <n v="360.88499999999999"/>
        <n v="360.92700000000002"/>
        <n v="362.71199999999999"/>
        <n v="362.81700000000001"/>
        <n v="362.94299999999998"/>
        <n v="365.08499999999998"/>
        <n v="365.904"/>
        <n v="367.03800000000001"/>
        <n v="367.55250000000001"/>
        <n v="369.495"/>
        <n v="369.68400000000003"/>
        <n v="370.125"/>
        <n v="373.17"/>
        <n v="374.38799999999998"/>
        <n v="374.40899999999999"/>
        <n v="374.79750000000001"/>
        <n v="375.36450000000002"/>
        <n v="377.58"/>
        <n v="379.92149999999998"/>
        <n v="381.39150000000001"/>
        <n v="383.52300000000002"/>
        <n v="383.7645"/>
        <n v="384.46800000000002"/>
        <n v="384.72"/>
        <n v="388.29"/>
        <n v="390.79950000000002"/>
        <n v="390.94650000000001"/>
        <n v="391.41899999999998"/>
        <n v="392.64749999999998"/>
        <n v="394.27499999999998"/>
        <n v="394.32749999999999"/>
        <n v="394.63200000000001"/>
        <n v="395.892"/>
        <n v="397.21499999999997"/>
        <n v="397.61399999999998"/>
        <n v="397.84500000000003"/>
        <n v="397.99200000000002"/>
        <n v="398.47500000000002"/>
        <n v="398.95800000000003"/>
        <n v="399.75599999999997"/>
        <n v="400.76400000000001"/>
        <n v="401.26799999999997"/>
        <n v="401.68799999999999"/>
        <n v="401.73"/>
        <n v="402.26549999999997"/>
        <n v="403.87200000000001"/>
        <n v="404.35500000000002"/>
        <n v="404.54399999999998"/>
        <n v="404.649"/>
        <n v="406.875"/>
        <n v="407.31599999999997"/>
        <n v="408.40800000000002"/>
        <n v="408.49200000000002"/>
        <n v="408.73349999999999"/>
        <n v="410.50799999999998"/>
        <n v="411.37950000000001"/>
        <n v="415.233"/>
        <n v="416.178"/>
        <n v="417.56400000000002"/>
        <n v="418.95"/>
        <n v="419.83199999999999"/>
        <n v="420.26249999999999"/>
        <n v="422.73"/>
        <n v="423.15"/>
        <n v="423.738"/>
        <n v="427.81200000000001"/>
        <n v="429.16649999999998"/>
        <n v="430.71"/>
        <n v="431.25599999999997"/>
        <n v="431.44499999999999"/>
        <n v="432.76799999999997"/>
        <n v="432.98849999999999"/>
        <n v="433.69200000000001"/>
        <n v="435.12"/>
        <n v="435.45600000000002"/>
        <n v="437.32499999999999"/>
        <n v="439.21499999999997"/>
        <n v="439.89749999999998"/>
        <n v="440.93700000000001"/>
        <n v="441.58800000000002"/>
        <n v="441.69299999999998"/>
        <n v="441.75599999999997"/>
        <n v="442.32299999999998"/>
        <n v="446.43900000000002"/>
        <n v="446.964"/>
        <n v="450.1035"/>
        <n v="451.02749999999997"/>
        <n v="451.36349999999999"/>
        <n v="451.71"/>
        <n v="452.86500000000001"/>
        <n v="453.495"/>
        <n v="455.1225"/>
        <n v="456.28800000000001"/>
        <n v="457.38"/>
        <n v="457.44299999999998"/>
        <n v="458.6925"/>
        <n v="461.286"/>
        <n v="461.32799999999997"/>
        <n v="461.52749999999997"/>
        <n v="462.21"/>
        <n v="462.67200000000003"/>
        <n v="463.428"/>
        <n v="463.89"/>
        <n v="465.44400000000002"/>
        <n v="469.41300000000001"/>
        <n v="469.77"/>
        <n v="470.673"/>
        <n v="470.988"/>
        <n v="471.03"/>
        <n v="472.31099999999998"/>
        <n v="474.34800000000001"/>
        <n v="477.13049999999998"/>
        <n v="477.54"/>
        <n v="478.233"/>
        <n v="479.64"/>
        <n v="479.90249999999997"/>
        <n v="480.02850000000001"/>
        <n v="484.52249999999998"/>
        <n v="484.89"/>
        <n v="484.97399999999999"/>
        <n v="485.03699999999998"/>
        <n v="485.57249999999999"/>
        <n v="486.44400000000002"/>
        <n v="488.98500000000001"/>
        <n v="489.048"/>
        <n v="491.08499999999998"/>
        <n v="493.79399999999998"/>
        <n v="494.1825"/>
        <n v="494.76"/>
        <n v="495.31650000000002"/>
        <n v="497.07"/>
        <n v="499.72649999999999"/>
        <n v="503.55900000000003"/>
        <n v="503.73750000000001"/>
        <n v="506.63549999999998"/>
        <n v="507.44400000000002"/>
        <n v="507.67500000000001"/>
        <n v="507.90600000000001"/>
        <n v="509.40750000000003"/>
        <n v="510.61500000000001"/>
        <n v="510.9615"/>
        <n v="510.97199999999998"/>
        <n v="512.19000000000005"/>
        <n v="513.22950000000003"/>
        <n v="514.60500000000002"/>
        <n v="514.77300000000002"/>
        <n v="517.96500000000003"/>
        <n v="520.41150000000005"/>
        <n v="520.79999999999995"/>
        <n v="521.01"/>
        <n v="523.37249999999995"/>
        <n v="523.84500000000003"/>
        <n v="523.971"/>
        <n v="525.23099999999999"/>
        <n v="527.5095"/>
        <n v="527.75099999999998"/>
        <n v="529.51499999999999"/>
        <n v="530.66999999999996"/>
        <n v="532.72799999999995"/>
        <n v="535.37400000000002"/>
        <n v="535.72050000000002"/>
        <n v="536.59199999999998"/>
        <n v="536.84400000000005"/>
        <n v="536.99099999999999"/>
        <n v="539.34299999999996"/>
        <n v="543.75300000000004"/>
        <n v="545.05499999999995"/>
        <n v="545.37"/>
        <n v="548.16300000000001"/>
        <n v="548.18399999999997"/>
        <n v="548.73"/>
        <n v="548.76149999999996"/>
        <n v="548.97149999999999"/>
        <n v="550.36800000000005"/>
        <n v="550.93499999999995"/>
        <n v="551.12400000000002"/>
        <n v="554.14800000000002"/>
        <n v="554.29499999999996"/>
        <n v="557.71799999999996"/>
        <n v="561.07799999999997"/>
        <n v="565.21500000000003"/>
        <n v="568.51199999999994"/>
        <n v="570.78"/>
        <n v="571.41"/>
        <n v="572.77499999999998"/>
        <n v="575.31600000000003"/>
        <n v="575.73599999999999"/>
        <n v="575.97749999999996"/>
        <n v="579.8415"/>
        <n v="580.41899999999998"/>
        <n v="586.63499999999999"/>
        <n v="586.971"/>
        <n v="587.66399999999999"/>
        <n v="588.35699999999997"/>
        <n v="588.41999999999996"/>
        <n v="590.43600000000004"/>
        <n v="596.82000000000005"/>
        <n v="597.04049999999995"/>
        <n v="597.62850000000003"/>
        <n v="603.62400000000002"/>
        <n v="603.87599999999998"/>
        <n v="608.07600000000002"/>
        <n v="608.202"/>
        <n v="609"/>
        <n v="609.16800000000001"/>
        <n v="609.58799999999997"/>
        <n v="610.49099999999999"/>
        <n v="611.07899999999995"/>
        <n v="614.94299999999998"/>
        <n v="616.98"/>
        <n v="618.97500000000002"/>
        <n v="620.73900000000003"/>
        <n v="621.24300000000005"/>
        <n v="624.33000000000004"/>
        <n v="624.89700000000005"/>
        <n v="625.90499999999997"/>
        <n v="627.61649999999997"/>
        <n v="628.173"/>
        <n v="628.92899999999997"/>
        <n v="629.16"/>
        <n v="629.49599999999998"/>
        <n v="629.84249999999997"/>
        <n v="631.14449999999999"/>
        <n v="633.10799999999995"/>
        <n v="633.99"/>
        <n v="634.37850000000003"/>
        <n v="637.72799999999995"/>
        <n v="640.03800000000001"/>
        <n v="649.29899999999998"/>
        <n v="652.26"/>
        <n v="652.89"/>
        <n v="655.54650000000004"/>
        <n v="657.53099999999995"/>
        <n v="663.29549999999995"/>
        <n v="666.93899999999996"/>
        <n v="667.38"/>
        <n v="671.79"/>
        <n v="673.995"/>
        <n v="680.06399999999996"/>
        <n v="680.14800000000002"/>
        <n v="680.61"/>
        <n v="681.43949999999995"/>
        <n v="681.97500000000002"/>
        <n v="684.91499999999996"/>
        <n v="688.62149999999997"/>
        <n v="688.71600000000001"/>
        <n v="690.01800000000003"/>
        <n v="695.23649999999998"/>
        <n v="697.36800000000005"/>
        <n v="697.93499999999995"/>
        <n v="701.85149999999999"/>
        <n v="702.21900000000005"/>
        <n v="703.75199999999995"/>
        <n v="705.63149999999996"/>
        <n v="708.22500000000002"/>
        <n v="708.31949999999995"/>
        <n v="709.31700000000001"/>
        <n v="714.32550000000003"/>
        <n v="718.75649999999996"/>
        <n v="720.3"/>
        <n v="721.98"/>
        <n v="722.23199999999997"/>
        <n v="723.24"/>
        <n v="728.11199999999997"/>
        <n v="731.43"/>
        <n v="731.6925"/>
        <n v="732.27"/>
        <n v="733.60350000000005"/>
        <n v="734.07600000000002"/>
        <n v="734.70600000000002"/>
        <n v="736.43849999999998"/>
        <n v="737.76149999999996"/>
        <n v="742.29750000000001"/>
        <n v="742.81200000000001"/>
        <n v="743.82"/>
        <n v="745.39499999999998"/>
        <n v="745.83600000000001"/>
        <n v="749.49"/>
        <n v="749.7"/>
        <n v="752.64"/>
        <n v="756.16800000000001"/>
        <n v="757.36500000000001"/>
        <n v="759.67499999999995"/>
        <n v="760.44150000000002"/>
        <n v="760.452"/>
        <n v="763.46550000000002"/>
        <n v="764.19"/>
        <n v="767.02499999999998"/>
        <n v="769.10400000000004"/>
        <n v="771.43499999999995"/>
        <n v="772.38"/>
        <n v="779.31"/>
        <n v="781.62"/>
        <n v="782.20799999999997"/>
        <n v="783.3"/>
        <n v="786.61800000000005"/>
        <n v="788.50800000000004"/>
        <n v="793.548"/>
        <n v="793.71600000000001"/>
        <n v="794.65049999999997"/>
        <n v="796.90800000000002"/>
        <n v="801.86400000000003"/>
        <n v="804.3"/>
        <n v="807.66"/>
        <n v="810.6"/>
        <n v="814.38"/>
        <n v="817.23599999999999"/>
        <n v="820.36500000000001"/>
        <n v="822.255"/>
        <n v="827.08500000000004"/>
        <n v="829.08"/>
        <n v="829.71"/>
        <n v="830.37149999999997"/>
        <n v="832.94399999999996"/>
        <n v="833.59500000000003"/>
        <n v="833.96249999999998"/>
        <n v="835.28549999999996"/>
        <n v="836.30399999999997"/>
        <n v="843.03449999999998"/>
        <n v="852.70500000000004"/>
        <n v="853.14599999999996"/>
        <n v="856.45349999999996"/>
        <n v="860.47500000000002"/>
        <n v="860.68499999999995"/>
        <n v="864.57"/>
        <n v="867.09"/>
        <n v="867.61500000000001"/>
        <n v="874.125"/>
        <n v="881.30700000000002"/>
        <n v="887.92200000000003"/>
        <n v="888.40499999999997"/>
        <n v="888.61500000000001"/>
        <n v="914.55"/>
        <n v="918.72900000000004"/>
        <n v="921.18600000000004"/>
        <n v="922.63499999999999"/>
        <n v="926.95050000000003"/>
        <n v="931.03499999999997"/>
        <n v="932.33699999999999"/>
        <n v="935.26649999999995"/>
        <n v="936.6"/>
        <n v="937.81799999999998"/>
        <n v="939.54"/>
        <n v="942.44849999999997"/>
        <n v="942.9"/>
        <n v="943.29899999999998"/>
        <n v="944.62199999999996"/>
        <n v="950.25"/>
        <n v="951.82500000000005"/>
        <n v="1002.12"/>
        <n v="1003.59"/>
        <n v="1020.705"/>
        <n v="1022.385"/>
        <n v="1022.49"/>
        <n v="1023.75"/>
        <n v="1034.46"/>
        <n v="1039.29"/>
        <n v="1042.6500000000001"/>
      </sharedItems>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8"/>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2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77930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x v="0"/>
    <x v="0"/>
    <x v="0"/>
    <x v="0"/>
    <n v="10.17"/>
    <n v="4.7619047620000003"/>
    <n v="0.50849999999999995"/>
    <n v="5.9"/>
  </r>
  <r>
    <s v="784-21-9238"/>
    <x v="0"/>
    <x v="1"/>
    <x v="0"/>
    <x v="0"/>
    <x v="0"/>
    <n v="10.17"/>
    <n v="1"/>
    <n v="0.50849999999999995"/>
    <x v="0"/>
    <x v="0"/>
    <x v="0"/>
    <x v="0"/>
    <n v="10.17"/>
    <n v="4.7619047620000003"/>
    <n v="0.50849999999999995"/>
    <n v="5.9"/>
  </r>
  <r>
    <s v="308-39-1707"/>
    <x v="0"/>
    <x v="2"/>
    <x v="1"/>
    <x v="1"/>
    <x v="1"/>
    <n v="12.09"/>
    <n v="1"/>
    <n v="0.60450000000000004"/>
    <x v="1"/>
    <x v="1"/>
    <x v="1"/>
    <x v="0"/>
    <n v="12.09"/>
    <n v="4.7619047620000003"/>
    <n v="0.60450000000000004"/>
    <n v="8.1999999999999993"/>
  </r>
  <r>
    <s v="331-98-7546"/>
    <x v="1"/>
    <x v="1"/>
    <x v="1"/>
    <x v="0"/>
    <x v="1"/>
    <n v="12.09"/>
    <n v="1"/>
    <n v="0.60450000000000004"/>
    <x v="1"/>
    <x v="1"/>
    <x v="1"/>
    <x v="0"/>
    <n v="12.09"/>
    <n v="4.7619047620000003"/>
    <n v="0.60450000000000004"/>
    <n v="8.1999999999999993"/>
  </r>
  <r>
    <s v="531-63-1563"/>
    <x v="0"/>
    <x v="2"/>
    <x v="1"/>
    <x v="1"/>
    <x v="1"/>
    <n v="12.09"/>
    <n v="1"/>
    <n v="0.60450000000000004"/>
    <x v="1"/>
    <x v="1"/>
    <x v="1"/>
    <x v="0"/>
    <n v="12.09"/>
    <n v="4.7619047620000003"/>
    <n v="0.60450000000000004"/>
    <n v="8.1999999999999993"/>
  </r>
  <r>
    <s v="128-77-6953"/>
    <x v="1"/>
    <x v="1"/>
    <x v="1"/>
    <x v="0"/>
    <x v="1"/>
    <n v="12.09"/>
    <n v="1"/>
    <n v="0.60450000000000004"/>
    <x v="1"/>
    <x v="1"/>
    <x v="1"/>
    <x v="0"/>
    <n v="12.09"/>
    <n v="4.7619047620000003"/>
    <n v="0.60450000000000004"/>
    <n v="8.1999999999999993"/>
  </r>
  <r>
    <s v="279-62-1445"/>
    <x v="0"/>
    <x v="0"/>
    <x v="0"/>
    <x v="0"/>
    <x v="1"/>
    <n v="12.54"/>
    <n v="1"/>
    <n v="0.627"/>
    <x v="2"/>
    <x v="2"/>
    <x v="2"/>
    <x v="0"/>
    <n v="12.54"/>
    <n v="4.7619047620000003"/>
    <n v="0.627"/>
    <n v="8.1999999999999993"/>
  </r>
  <r>
    <s v="324-44-3901"/>
    <x v="1"/>
    <x v="0"/>
    <x v="0"/>
    <x v="0"/>
    <x v="2"/>
    <n v="12.54"/>
    <n v="1"/>
    <n v="0.627"/>
    <x v="2"/>
    <x v="2"/>
    <x v="2"/>
    <x v="1"/>
    <n v="12.54"/>
    <n v="4.7619047620000003"/>
    <n v="0.627"/>
    <n v="8.1999999999999993"/>
  </r>
  <r>
    <s v="192-98-7397"/>
    <x v="1"/>
    <x v="0"/>
    <x v="1"/>
    <x v="0"/>
    <x v="1"/>
    <n v="12.78"/>
    <n v="1"/>
    <n v="0.63900000000000001"/>
    <x v="3"/>
    <x v="3"/>
    <x v="3"/>
    <x v="1"/>
    <n v="12.78"/>
    <n v="4.7619047620000003"/>
    <n v="0.63900000000000001"/>
    <n v="9.5"/>
  </r>
  <r>
    <s v="716-38-8338"/>
    <x v="1"/>
    <x v="0"/>
    <x v="1"/>
    <x v="0"/>
    <x v="1"/>
    <n v="12.78"/>
    <n v="1"/>
    <n v="0.63900000000000001"/>
    <x v="3"/>
    <x v="3"/>
    <x v="3"/>
    <x v="1"/>
    <n v="12.78"/>
    <n v="4.7619047620000003"/>
    <n v="0.63900000000000001"/>
    <n v="9.5"/>
  </r>
  <r>
    <s v="236-86-3015"/>
    <x v="1"/>
    <x v="0"/>
    <x v="0"/>
    <x v="0"/>
    <x v="3"/>
    <n v="13.98"/>
    <n v="1"/>
    <n v="0.69899999999999995"/>
    <x v="4"/>
    <x v="4"/>
    <x v="4"/>
    <x v="1"/>
    <n v="13.98"/>
    <n v="4.7619047620000003"/>
    <n v="0.69899999999999995"/>
    <n v="9.8000000000000007"/>
  </r>
  <r>
    <s v="490-29-1201"/>
    <x v="1"/>
    <x v="1"/>
    <x v="1"/>
    <x v="1"/>
    <x v="0"/>
    <n v="15.34"/>
    <n v="1"/>
    <n v="0.76700000000000002"/>
    <x v="5"/>
    <x v="5"/>
    <x v="5"/>
    <x v="0"/>
    <n v="15.34"/>
    <n v="4.7619047620000003"/>
    <n v="0.76700000000000002"/>
    <n v="6.5"/>
  </r>
  <r>
    <s v="778-71-5554"/>
    <x v="0"/>
    <x v="0"/>
    <x v="0"/>
    <x v="0"/>
    <x v="1"/>
    <n v="15.43"/>
    <n v="1"/>
    <n v="0.77149999999999996"/>
    <x v="6"/>
    <x v="6"/>
    <x v="6"/>
    <x v="2"/>
    <n v="15.43"/>
    <n v="4.7619047620000003"/>
    <n v="0.77149999999999996"/>
    <n v="6.1"/>
  </r>
  <r>
    <s v="593-08-5916"/>
    <x v="1"/>
    <x v="2"/>
    <x v="1"/>
    <x v="1"/>
    <x v="1"/>
    <n v="15.5"/>
    <n v="1"/>
    <n v="0.77500000000000002"/>
    <x v="7"/>
    <x v="7"/>
    <x v="7"/>
    <x v="0"/>
    <n v="15.5"/>
    <n v="4.7619047620000003"/>
    <n v="0.77500000000000002"/>
    <n v="7.4"/>
  </r>
  <r>
    <s v="489-64-4354"/>
    <x v="0"/>
    <x v="0"/>
    <x v="1"/>
    <x v="0"/>
    <x v="1"/>
    <n v="16.28"/>
    <n v="1"/>
    <n v="0.81399999999999995"/>
    <x v="8"/>
    <x v="8"/>
    <x v="8"/>
    <x v="0"/>
    <n v="16.28"/>
    <n v="4.7619047620000003"/>
    <n v="0.81399999999999995"/>
    <n v="5"/>
  </r>
  <r>
    <s v="689-22-9889"/>
    <x v="0"/>
    <x v="0"/>
    <x v="1"/>
    <x v="0"/>
    <x v="1"/>
    <n v="16.28"/>
    <n v="1"/>
    <n v="0.81399999999999995"/>
    <x v="8"/>
    <x v="8"/>
    <x v="8"/>
    <x v="0"/>
    <n v="16.28"/>
    <n v="4.7619047620000003"/>
    <n v="0.81399999999999995"/>
    <n v="5"/>
  </r>
  <r>
    <s v="559-61-5987"/>
    <x v="2"/>
    <x v="1"/>
    <x v="1"/>
    <x v="1"/>
    <x v="4"/>
    <n v="17.75"/>
    <n v="1"/>
    <n v="0.88749999999999996"/>
    <x v="9"/>
    <x v="9"/>
    <x v="9"/>
    <x v="0"/>
    <n v="17.75"/>
    <n v="4.7619047620000003"/>
    <n v="0.88749999999999996"/>
    <n v="8.6"/>
  </r>
  <r>
    <s v="802-43-8934"/>
    <x v="2"/>
    <x v="2"/>
    <x v="1"/>
    <x v="0"/>
    <x v="3"/>
    <n v="18.28"/>
    <n v="1"/>
    <n v="0.91400000000000003"/>
    <x v="10"/>
    <x v="10"/>
    <x v="10"/>
    <x v="2"/>
    <n v="18.28"/>
    <n v="4.7619047620000003"/>
    <n v="0.91400000000000003"/>
    <n v="8.3000000000000007"/>
  </r>
  <r>
    <s v="382-03-4532"/>
    <x v="1"/>
    <x v="2"/>
    <x v="0"/>
    <x v="0"/>
    <x v="2"/>
    <n v="18.329999999999998"/>
    <n v="1"/>
    <n v="0.91649999999999998"/>
    <x v="11"/>
    <x v="11"/>
    <x v="11"/>
    <x v="0"/>
    <n v="18.329999999999998"/>
    <n v="4.7619047620000003"/>
    <n v="0.91649999999999998"/>
    <n v="4.3"/>
  </r>
  <r>
    <s v="750-80-6894"/>
    <x v="0"/>
    <x v="2"/>
    <x v="0"/>
    <x v="0"/>
    <x v="2"/>
    <n v="18.329999999999998"/>
    <n v="1"/>
    <n v="0.91649999999999998"/>
    <x v="11"/>
    <x v="11"/>
    <x v="11"/>
    <x v="0"/>
    <n v="18.329999999999998"/>
    <n v="4.7619047620000003"/>
    <n v="0.91649999999999998"/>
    <n v="4.3"/>
  </r>
  <r>
    <s v="390-80-5128"/>
    <x v="0"/>
    <x v="1"/>
    <x v="0"/>
    <x v="1"/>
    <x v="2"/>
    <n v="19.149999999999999"/>
    <n v="1"/>
    <n v="0.95750000000000002"/>
    <x v="12"/>
    <x v="12"/>
    <x v="12"/>
    <x v="0"/>
    <n v="19.149999999999999"/>
    <n v="4.7619047620000003"/>
    <n v="0.95750000000000002"/>
    <n v="9.5"/>
  </r>
  <r>
    <s v="707-49-5478"/>
    <x v="0"/>
    <x v="1"/>
    <x v="0"/>
    <x v="0"/>
    <x v="2"/>
    <n v="19.149999999999999"/>
    <n v="1"/>
    <n v="0.95750000000000002"/>
    <x v="12"/>
    <x v="12"/>
    <x v="12"/>
    <x v="0"/>
    <n v="19.149999999999999"/>
    <n v="4.7619047620000003"/>
    <n v="0.95750000000000002"/>
    <n v="9.5"/>
  </r>
  <r>
    <s v="185-54-5701"/>
    <x v="1"/>
    <x v="2"/>
    <x v="1"/>
    <x v="0"/>
    <x v="1"/>
    <n v="19.7"/>
    <n v="1"/>
    <n v="0.98499999999999999"/>
    <x v="13"/>
    <x v="13"/>
    <x v="13"/>
    <x v="1"/>
    <n v="19.7"/>
    <n v="4.7619047620000003"/>
    <n v="0.98499999999999999"/>
    <n v="9.5"/>
  </r>
  <r>
    <s v="756-49-0168"/>
    <x v="1"/>
    <x v="1"/>
    <x v="0"/>
    <x v="0"/>
    <x v="1"/>
    <n v="19.7"/>
    <n v="1"/>
    <n v="0.98499999999999999"/>
    <x v="13"/>
    <x v="13"/>
    <x v="13"/>
    <x v="1"/>
    <n v="19.7"/>
    <n v="4.7619047620000003"/>
    <n v="0.98499999999999999"/>
    <n v="9.5"/>
  </r>
  <r>
    <s v="896-34-0956"/>
    <x v="1"/>
    <x v="1"/>
    <x v="1"/>
    <x v="0"/>
    <x v="2"/>
    <n v="21.32"/>
    <n v="1"/>
    <n v="1.0660000000000001"/>
    <x v="14"/>
    <x v="1"/>
    <x v="14"/>
    <x v="0"/>
    <n v="21.32"/>
    <n v="4.7619047620000003"/>
    <n v="1.0660000000000001"/>
    <n v="5.9"/>
  </r>
  <r>
    <s v="106-12-7026"/>
    <x v="1"/>
    <x v="0"/>
    <x v="1"/>
    <x v="0"/>
    <x v="2"/>
    <n v="21.58"/>
    <n v="1"/>
    <n v="1.079"/>
    <x v="15"/>
    <x v="14"/>
    <x v="15"/>
    <x v="1"/>
    <n v="21.58"/>
    <n v="4.7619047620000003"/>
    <n v="1.079"/>
    <n v="7.2"/>
  </r>
  <r>
    <s v="746-19-0921"/>
    <x v="1"/>
    <x v="0"/>
    <x v="1"/>
    <x v="0"/>
    <x v="2"/>
    <n v="21.58"/>
    <n v="1"/>
    <n v="1.079"/>
    <x v="15"/>
    <x v="14"/>
    <x v="15"/>
    <x v="1"/>
    <n v="21.58"/>
    <n v="4.7619047620000003"/>
    <n v="1.079"/>
    <n v="7.2"/>
  </r>
  <r>
    <s v="803-60-8708"/>
    <x v="0"/>
    <x v="0"/>
    <x v="1"/>
    <x v="0"/>
    <x v="0"/>
    <n v="22.38"/>
    <n v="1"/>
    <n v="1.119"/>
    <x v="16"/>
    <x v="15"/>
    <x v="16"/>
    <x v="2"/>
    <n v="22.38"/>
    <n v="4.7619047620000003"/>
    <n v="1.119"/>
    <n v="8.6"/>
  </r>
  <r>
    <s v="862-29-5914"/>
    <x v="0"/>
    <x v="1"/>
    <x v="1"/>
    <x v="1"/>
    <x v="2"/>
    <n v="22.38"/>
    <n v="1"/>
    <n v="1.119"/>
    <x v="16"/>
    <x v="15"/>
    <x v="16"/>
    <x v="0"/>
    <n v="22.38"/>
    <n v="4.7619047620000003"/>
    <n v="1.119"/>
    <n v="8.6"/>
  </r>
  <r>
    <s v="320-32-8842"/>
    <x v="0"/>
    <x v="0"/>
    <x v="0"/>
    <x v="1"/>
    <x v="2"/>
    <n v="22.62"/>
    <n v="1"/>
    <n v="1.131"/>
    <x v="17"/>
    <x v="16"/>
    <x v="17"/>
    <x v="0"/>
    <n v="22.62"/>
    <n v="4.7619047620000003"/>
    <n v="1.131"/>
    <n v="6.4"/>
  </r>
  <r>
    <s v="756-67-2028"/>
    <x v="0"/>
    <x v="0"/>
    <x v="0"/>
    <x v="1"/>
    <x v="2"/>
    <n v="22.62"/>
    <n v="1"/>
    <n v="1.131"/>
    <x v="17"/>
    <x v="16"/>
    <x v="17"/>
    <x v="0"/>
    <n v="22.62"/>
    <n v="4.7619047620000003"/>
    <n v="1.131"/>
    <n v="6.4"/>
  </r>
  <r>
    <s v="597-58-5157"/>
    <x v="0"/>
    <x v="0"/>
    <x v="0"/>
    <x v="1"/>
    <x v="2"/>
    <n v="22.62"/>
    <n v="1"/>
    <n v="1.131"/>
    <x v="17"/>
    <x v="16"/>
    <x v="17"/>
    <x v="0"/>
    <n v="22.62"/>
    <n v="4.7619047620000003"/>
    <n v="1.131"/>
    <n v="6.4"/>
  </r>
  <r>
    <s v="556-72-8512"/>
    <x v="0"/>
    <x v="0"/>
    <x v="1"/>
    <x v="0"/>
    <x v="3"/>
    <n v="22.96"/>
    <n v="1"/>
    <n v="1.1479999999999999"/>
    <x v="18"/>
    <x v="15"/>
    <x v="18"/>
    <x v="0"/>
    <n v="22.96"/>
    <n v="4.7619047620000003"/>
    <n v="1.1479999999999999"/>
    <n v="4.3"/>
  </r>
  <r>
    <s v="633-91-1052"/>
    <x v="1"/>
    <x v="1"/>
    <x v="1"/>
    <x v="0"/>
    <x v="3"/>
    <n v="12.03"/>
    <n v="2"/>
    <n v="1.2030000000000001"/>
    <x v="19"/>
    <x v="17"/>
    <x v="19"/>
    <x v="0"/>
    <n v="24.06"/>
    <n v="4.7619047620000003"/>
    <n v="1.2030000000000001"/>
    <n v="5.0999999999999996"/>
  </r>
  <r>
    <s v="137-42-4232"/>
    <x v="1"/>
    <x v="0"/>
    <x v="1"/>
    <x v="0"/>
    <x v="3"/>
    <n v="12.03"/>
    <n v="2"/>
    <n v="1.2030000000000001"/>
    <x v="19"/>
    <x v="17"/>
    <x v="19"/>
    <x v="0"/>
    <n v="24.06"/>
    <n v="4.7619047620000003"/>
    <n v="1.2030000000000001"/>
    <n v="1.1000000000000001"/>
  </r>
  <r>
    <s v="568-88-3448"/>
    <x v="1"/>
    <x v="2"/>
    <x v="1"/>
    <x v="0"/>
    <x v="2"/>
    <n v="25"/>
    <n v="1"/>
    <n v="1.25"/>
    <x v="20"/>
    <x v="18"/>
    <x v="20"/>
    <x v="1"/>
    <n v="25"/>
    <n v="4.7619047620000003"/>
    <n v="1.25"/>
    <n v="5.5"/>
  </r>
  <r>
    <s v="856-22-8149"/>
    <x v="1"/>
    <x v="2"/>
    <x v="1"/>
    <x v="0"/>
    <x v="2"/>
    <n v="25.29"/>
    <n v="1"/>
    <n v="1.2645"/>
    <x v="21"/>
    <x v="19"/>
    <x v="21"/>
    <x v="1"/>
    <n v="25.29"/>
    <n v="4.7619047620000003"/>
    <n v="1.2645"/>
    <n v="6.1"/>
  </r>
  <r>
    <s v="156-20-0370"/>
    <x v="2"/>
    <x v="1"/>
    <x v="1"/>
    <x v="1"/>
    <x v="5"/>
    <n v="25.45"/>
    <n v="1"/>
    <n v="1.2725"/>
    <x v="22"/>
    <x v="20"/>
    <x v="22"/>
    <x v="0"/>
    <n v="25.45"/>
    <n v="4.7619047620000003"/>
    <n v="1.2725"/>
    <n v="5.0999999999999996"/>
  </r>
  <r>
    <s v="719-48-8240"/>
    <x v="2"/>
    <x v="1"/>
    <x v="1"/>
    <x v="0"/>
    <x v="5"/>
    <n v="25.45"/>
    <n v="1"/>
    <n v="1.2725"/>
    <x v="22"/>
    <x v="20"/>
    <x v="22"/>
    <x v="2"/>
    <n v="25.45"/>
    <n v="4.7619047620000003"/>
    <n v="1.2725"/>
    <n v="5.0999999999999996"/>
  </r>
  <r>
    <s v="838-02-1821"/>
    <x v="0"/>
    <x v="1"/>
    <x v="0"/>
    <x v="1"/>
    <x v="3"/>
    <n v="12.73"/>
    <n v="2"/>
    <n v="1.2729999999999999"/>
    <x v="23"/>
    <x v="21"/>
    <x v="23"/>
    <x v="0"/>
    <n v="25.46"/>
    <n v="4.7619047620000003"/>
    <n v="1.2729999999999999"/>
    <n v="5.2"/>
  </r>
  <r>
    <s v="330-97-1282"/>
    <x v="1"/>
    <x v="2"/>
    <x v="0"/>
    <x v="0"/>
    <x v="0"/>
    <n v="12.76"/>
    <n v="2"/>
    <n v="1.276"/>
    <x v="24"/>
    <x v="3"/>
    <x v="24"/>
    <x v="0"/>
    <n v="25.52"/>
    <n v="4.7619047620000003"/>
    <n v="1.276"/>
    <n v="7.8"/>
  </r>
  <r>
    <s v="840-76-5966"/>
    <x v="1"/>
    <x v="1"/>
    <x v="0"/>
    <x v="0"/>
    <x v="0"/>
    <n v="12.76"/>
    <n v="2"/>
    <n v="1.276"/>
    <x v="24"/>
    <x v="3"/>
    <x v="24"/>
    <x v="0"/>
    <n v="25.52"/>
    <n v="4.7619047620000003"/>
    <n v="1.276"/>
    <n v="7.8"/>
  </r>
  <r>
    <s v="750-21-2516"/>
    <x v="1"/>
    <x v="2"/>
    <x v="0"/>
    <x v="0"/>
    <x v="0"/>
    <n v="12.76"/>
    <n v="2"/>
    <n v="1.276"/>
    <x v="24"/>
    <x v="3"/>
    <x v="24"/>
    <x v="0"/>
    <n v="25.52"/>
    <n v="4.7619047620000003"/>
    <n v="1.276"/>
    <n v="7.8"/>
  </r>
  <r>
    <s v="296-11-7041"/>
    <x v="0"/>
    <x v="1"/>
    <x v="0"/>
    <x v="1"/>
    <x v="4"/>
    <n v="27.07"/>
    <n v="1"/>
    <n v="1.3534999999999999"/>
    <x v="25"/>
    <x v="22"/>
    <x v="25"/>
    <x v="0"/>
    <n v="27.07"/>
    <n v="4.7619047620000003"/>
    <n v="1.3534999999999999"/>
    <n v="5.3"/>
  </r>
  <r>
    <s v="269-68-1976"/>
    <x v="1"/>
    <x v="1"/>
    <x v="0"/>
    <x v="1"/>
    <x v="4"/>
    <n v="27.07"/>
    <n v="1"/>
    <n v="1.3534999999999999"/>
    <x v="25"/>
    <x v="22"/>
    <x v="25"/>
    <x v="0"/>
    <n v="27.07"/>
    <n v="4.7619047620000003"/>
    <n v="1.3534999999999999"/>
    <n v="5.3"/>
  </r>
  <r>
    <s v="883-17-4236"/>
    <x v="0"/>
    <x v="1"/>
    <x v="1"/>
    <x v="0"/>
    <x v="2"/>
    <n v="14.39"/>
    <n v="2"/>
    <n v="1.4390000000000001"/>
    <x v="26"/>
    <x v="23"/>
    <x v="26"/>
    <x v="2"/>
    <n v="28.78"/>
    <n v="4.7619047620000003"/>
    <n v="1.4390000000000001"/>
    <n v="7.2"/>
  </r>
  <r>
    <s v="421-95-9805"/>
    <x v="0"/>
    <x v="2"/>
    <x v="1"/>
    <x v="1"/>
    <x v="5"/>
    <n v="28.96"/>
    <n v="1"/>
    <n v="1.448"/>
    <x v="27"/>
    <x v="0"/>
    <x v="27"/>
    <x v="0"/>
    <n v="28.96"/>
    <n v="4.7619047620000003"/>
    <n v="1.448"/>
    <n v="6.2"/>
  </r>
  <r>
    <s v="832-76-8603"/>
    <x v="1"/>
    <x v="2"/>
    <x v="1"/>
    <x v="0"/>
    <x v="5"/>
    <n v="28.96"/>
    <n v="1"/>
    <n v="1.448"/>
    <x v="27"/>
    <x v="0"/>
    <x v="27"/>
    <x v="2"/>
    <n v="28.96"/>
    <n v="4.7619047620000003"/>
    <n v="1.448"/>
    <n v="6.2"/>
  </r>
  <r>
    <s v="436-49-8712"/>
    <x v="0"/>
    <x v="2"/>
    <x v="1"/>
    <x v="0"/>
    <x v="5"/>
    <n v="28.96"/>
    <n v="1"/>
    <n v="1.448"/>
    <x v="27"/>
    <x v="0"/>
    <x v="27"/>
    <x v="0"/>
    <n v="28.96"/>
    <n v="4.7619047620000003"/>
    <n v="1.448"/>
    <n v="6.2"/>
  </r>
  <r>
    <s v="764-44-8999"/>
    <x v="2"/>
    <x v="1"/>
    <x v="1"/>
    <x v="1"/>
    <x v="4"/>
    <n v="14.76"/>
    <n v="2"/>
    <n v="1.476"/>
    <x v="28"/>
    <x v="24"/>
    <x v="28"/>
    <x v="0"/>
    <n v="29.52"/>
    <n v="4.7619047620000003"/>
    <n v="1.476"/>
    <n v="4.3"/>
  </r>
  <r>
    <s v="549-23-9016"/>
    <x v="0"/>
    <x v="1"/>
    <x v="0"/>
    <x v="1"/>
    <x v="2"/>
    <n v="14.87"/>
    <n v="2"/>
    <n v="1.4870000000000001"/>
    <x v="29"/>
    <x v="25"/>
    <x v="29"/>
    <x v="0"/>
    <n v="29.74"/>
    <n v="4.7619047620000003"/>
    <n v="1.4870000000000001"/>
    <n v="8.9"/>
  </r>
  <r>
    <s v="904-91-4438"/>
    <x v="0"/>
    <x v="1"/>
    <x v="0"/>
    <x v="0"/>
    <x v="2"/>
    <n v="14.87"/>
    <n v="2"/>
    <n v="1.4870000000000001"/>
    <x v="29"/>
    <x v="25"/>
    <x v="29"/>
    <x v="2"/>
    <n v="29.74"/>
    <n v="4.7619047620000003"/>
    <n v="1.4870000000000001"/>
    <n v="8.9"/>
  </r>
  <r>
    <s v="279-28-6899"/>
    <x v="0"/>
    <x v="0"/>
    <x v="1"/>
    <x v="0"/>
    <x v="5"/>
    <n v="30.24"/>
    <n v="1"/>
    <n v="1.512"/>
    <x v="30"/>
    <x v="26"/>
    <x v="30"/>
    <x v="0"/>
    <n v="30.24"/>
    <n v="4.7619047620000003"/>
    <n v="1.512"/>
    <n v="8.4"/>
  </r>
  <r>
    <s v="320-49-6392"/>
    <x v="0"/>
    <x v="1"/>
    <x v="1"/>
    <x v="1"/>
    <x v="5"/>
    <n v="30.24"/>
    <n v="1"/>
    <n v="1.512"/>
    <x v="30"/>
    <x v="26"/>
    <x v="30"/>
    <x v="0"/>
    <n v="30.24"/>
    <n v="4.7619047620000003"/>
    <n v="1.512"/>
    <n v="8.4"/>
  </r>
  <r>
    <s v="789-49-5406"/>
    <x v="1"/>
    <x v="0"/>
    <x v="1"/>
    <x v="0"/>
    <x v="2"/>
    <n v="30.24"/>
    <n v="1"/>
    <n v="1.512"/>
    <x v="30"/>
    <x v="26"/>
    <x v="30"/>
    <x v="1"/>
    <n v="30.24"/>
    <n v="4.7619047620000003"/>
    <n v="1.512"/>
    <n v="8.4"/>
  </r>
  <r>
    <s v="347-42-2957"/>
    <x v="0"/>
    <x v="1"/>
    <x v="1"/>
    <x v="1"/>
    <x v="5"/>
    <n v="30.24"/>
    <n v="1"/>
    <n v="1.512"/>
    <x v="30"/>
    <x v="26"/>
    <x v="30"/>
    <x v="0"/>
    <n v="30.24"/>
    <n v="4.7619047620000003"/>
    <n v="1.512"/>
    <n v="8.4"/>
  </r>
  <r>
    <s v="462-26-6873"/>
    <x v="0"/>
    <x v="0"/>
    <x v="0"/>
    <x v="1"/>
    <x v="2"/>
    <n v="30.41"/>
    <n v="1"/>
    <n v="1.5205"/>
    <x v="31"/>
    <x v="21"/>
    <x v="31"/>
    <x v="2"/>
    <n v="30.41"/>
    <n v="4.7619047620000003"/>
    <n v="1.5205"/>
    <n v="8.4"/>
  </r>
  <r>
    <s v="488-25-4221"/>
    <x v="0"/>
    <x v="0"/>
    <x v="0"/>
    <x v="0"/>
    <x v="2"/>
    <n v="30.41"/>
    <n v="1"/>
    <n v="1.5205"/>
    <x v="31"/>
    <x v="21"/>
    <x v="31"/>
    <x v="2"/>
    <n v="30.41"/>
    <n v="4.7619047620000003"/>
    <n v="1.5205"/>
    <n v="8.4"/>
  </r>
  <r>
    <s v="318-12-0304"/>
    <x v="0"/>
    <x v="2"/>
    <x v="1"/>
    <x v="0"/>
    <x v="1"/>
    <n v="30.61"/>
    <n v="1"/>
    <n v="1.5305"/>
    <x v="32"/>
    <x v="27"/>
    <x v="32"/>
    <x v="0"/>
    <n v="30.61"/>
    <n v="4.7619047620000003"/>
    <n v="1.5305"/>
    <n v="5.2"/>
  </r>
  <r>
    <s v="670-87-6531"/>
    <x v="1"/>
    <x v="1"/>
    <x v="1"/>
    <x v="0"/>
    <x v="1"/>
    <n v="30.61"/>
    <n v="1"/>
    <n v="1.5305"/>
    <x v="32"/>
    <x v="27"/>
    <x v="32"/>
    <x v="1"/>
    <n v="30.61"/>
    <n v="4.7619047620000003"/>
    <n v="1.5305"/>
    <n v="5.2"/>
  </r>
  <r>
    <s v="562-14-5324"/>
    <x v="0"/>
    <x v="2"/>
    <x v="1"/>
    <x v="0"/>
    <x v="1"/>
    <n v="30.61"/>
    <n v="1"/>
    <n v="1.5305"/>
    <x v="32"/>
    <x v="27"/>
    <x v="32"/>
    <x v="0"/>
    <n v="30.61"/>
    <n v="4.7619047620000003"/>
    <n v="1.5305"/>
    <n v="5.2"/>
  </r>
  <r>
    <s v="881-64-5423"/>
    <x v="1"/>
    <x v="0"/>
    <x v="1"/>
    <x v="0"/>
    <x v="1"/>
    <n v="30.61"/>
    <n v="1"/>
    <n v="1.5305"/>
    <x v="32"/>
    <x v="27"/>
    <x v="32"/>
    <x v="1"/>
    <n v="30.61"/>
    <n v="4.7619047620000003"/>
    <n v="1.5305"/>
    <n v="1.2"/>
  </r>
  <r>
    <s v="307-04-2070"/>
    <x v="1"/>
    <x v="1"/>
    <x v="0"/>
    <x v="1"/>
    <x v="1"/>
    <n v="30.62"/>
    <n v="1"/>
    <n v="1.5309999999999999"/>
    <x v="33"/>
    <x v="28"/>
    <x v="33"/>
    <x v="0"/>
    <n v="30.62"/>
    <n v="4.7619047620000003"/>
    <n v="1.5309999999999999"/>
    <n v="4.0999999999999996"/>
  </r>
  <r>
    <s v="318-17-7765"/>
    <x v="1"/>
    <x v="1"/>
    <x v="0"/>
    <x v="1"/>
    <x v="1"/>
    <n v="30.62"/>
    <n v="1"/>
    <n v="1.5309999999999999"/>
    <x v="33"/>
    <x v="28"/>
    <x v="33"/>
    <x v="0"/>
    <n v="30.62"/>
    <n v="4.7619047620000003"/>
    <n v="1.5309999999999999"/>
    <n v="4.0999999999999996"/>
  </r>
  <r>
    <s v="617-15-4209"/>
    <x v="0"/>
    <x v="0"/>
    <x v="0"/>
    <x v="0"/>
    <x v="4"/>
    <n v="15.37"/>
    <n v="2"/>
    <n v="1.5369999999999999"/>
    <x v="34"/>
    <x v="29"/>
    <x v="34"/>
    <x v="0"/>
    <n v="30.74"/>
    <n v="4.7619047620000003"/>
    <n v="1.5369999999999999"/>
    <n v="7.2"/>
  </r>
  <r>
    <s v="434-33-2398"/>
    <x v="0"/>
    <x v="0"/>
    <x v="0"/>
    <x v="0"/>
    <x v="4"/>
    <n v="15.37"/>
    <n v="2"/>
    <n v="1.5369999999999999"/>
    <x v="34"/>
    <x v="29"/>
    <x v="34"/>
    <x v="0"/>
    <n v="30.74"/>
    <n v="4.7619047620000003"/>
    <n v="1.5369999999999999"/>
    <n v="1.3"/>
  </r>
  <r>
    <s v="620-69-8733"/>
    <x v="0"/>
    <x v="0"/>
    <x v="0"/>
    <x v="0"/>
    <x v="0"/>
    <n v="15.49"/>
    <n v="2"/>
    <n v="1.5489999999999999"/>
    <x v="35"/>
    <x v="30"/>
    <x v="35"/>
    <x v="0"/>
    <n v="30.98"/>
    <n v="4.7619047620000003"/>
    <n v="1.5489999999999999"/>
    <n v="6.3"/>
  </r>
  <r>
    <s v="859-71-0933"/>
    <x v="0"/>
    <x v="1"/>
    <x v="0"/>
    <x v="1"/>
    <x v="2"/>
    <n v="15.49"/>
    <n v="2"/>
    <n v="1.5489999999999999"/>
    <x v="35"/>
    <x v="30"/>
    <x v="35"/>
    <x v="0"/>
    <n v="30.98"/>
    <n v="4.7619047620000003"/>
    <n v="1.5489999999999999"/>
    <n v="6.3"/>
  </r>
  <r>
    <s v="811-69-9462"/>
    <x v="0"/>
    <x v="0"/>
    <x v="0"/>
    <x v="0"/>
    <x v="0"/>
    <n v="15.49"/>
    <n v="2"/>
    <n v="1.5489999999999999"/>
    <x v="35"/>
    <x v="30"/>
    <x v="35"/>
    <x v="0"/>
    <n v="30.98"/>
    <n v="4.7619047620000003"/>
    <n v="1.5489999999999999"/>
    <n v="1.4"/>
  </r>
  <r>
    <s v="545-46-3100"/>
    <x v="2"/>
    <x v="1"/>
    <x v="0"/>
    <x v="0"/>
    <x v="5"/>
    <n v="10.59"/>
    <n v="3"/>
    <n v="1.5885"/>
    <x v="36"/>
    <x v="31"/>
    <x v="36"/>
    <x v="2"/>
    <n v="31.77"/>
    <n v="4.7619047620000003"/>
    <n v="1.5885"/>
    <n v="8.6999999999999993"/>
  </r>
  <r>
    <s v="687-19-1927"/>
    <x v="2"/>
    <x v="1"/>
    <x v="0"/>
    <x v="0"/>
    <x v="5"/>
    <n v="10.59"/>
    <n v="3"/>
    <n v="1.5885"/>
    <x v="36"/>
    <x v="31"/>
    <x v="36"/>
    <x v="2"/>
    <n v="31.77"/>
    <n v="4.7619047620000003"/>
    <n v="1.5885"/>
    <n v="8.6999999999999993"/>
  </r>
  <r>
    <s v="819-48-2712"/>
    <x v="2"/>
    <x v="1"/>
    <x v="0"/>
    <x v="0"/>
    <x v="5"/>
    <n v="10.59"/>
    <n v="3"/>
    <n v="1.5885"/>
    <x v="36"/>
    <x v="31"/>
    <x v="36"/>
    <x v="2"/>
    <n v="31.77"/>
    <n v="4.7619047620000003"/>
    <n v="1.5885"/>
    <n v="1.5"/>
  </r>
  <r>
    <s v="319-44-3998"/>
    <x v="1"/>
    <x v="2"/>
    <x v="0"/>
    <x v="0"/>
    <x v="2"/>
    <n v="31.84"/>
    <n v="1"/>
    <n v="1.5920000000000001"/>
    <x v="37"/>
    <x v="14"/>
    <x v="37"/>
    <x v="0"/>
    <n v="31.84"/>
    <n v="4.7619047620000003"/>
    <n v="1.5920000000000001"/>
    <n v="7.7"/>
  </r>
  <r>
    <s v="727-02-1313"/>
    <x v="1"/>
    <x v="1"/>
    <x v="0"/>
    <x v="0"/>
    <x v="2"/>
    <n v="31.84"/>
    <n v="1"/>
    <n v="1.5920000000000001"/>
    <x v="37"/>
    <x v="14"/>
    <x v="37"/>
    <x v="0"/>
    <n v="31.84"/>
    <n v="4.7619047620000003"/>
    <n v="1.5920000000000001"/>
    <n v="7.7"/>
  </r>
  <r>
    <s v="471-31-3164"/>
    <x v="1"/>
    <x v="2"/>
    <x v="0"/>
    <x v="0"/>
    <x v="2"/>
    <n v="31.84"/>
    <n v="1"/>
    <n v="1.5920000000000001"/>
    <x v="37"/>
    <x v="14"/>
    <x v="37"/>
    <x v="0"/>
    <n v="31.84"/>
    <n v="4.7619047620000003"/>
    <n v="1.5920000000000001"/>
    <n v="7.7"/>
  </r>
  <r>
    <s v="573-98-8548"/>
    <x v="0"/>
    <x v="0"/>
    <x v="0"/>
    <x v="1"/>
    <x v="1"/>
    <n v="31.9"/>
    <n v="1"/>
    <n v="1.595"/>
    <x v="38"/>
    <x v="32"/>
    <x v="38"/>
    <x v="0"/>
    <n v="31.9"/>
    <n v="4.7619047620000003"/>
    <n v="1.595"/>
    <n v="9.1"/>
  </r>
  <r>
    <s v="875-84-3664"/>
    <x v="0"/>
    <x v="1"/>
    <x v="0"/>
    <x v="0"/>
    <x v="2"/>
    <n v="31.9"/>
    <n v="1"/>
    <n v="1.595"/>
    <x v="38"/>
    <x v="32"/>
    <x v="38"/>
    <x v="0"/>
    <n v="31.9"/>
    <n v="4.7619047620000003"/>
    <n v="1.595"/>
    <n v="9.1"/>
  </r>
  <r>
    <s v="242-55-6721"/>
    <x v="1"/>
    <x v="1"/>
    <x v="1"/>
    <x v="0"/>
    <x v="3"/>
    <n v="16.16"/>
    <n v="2"/>
    <n v="1.6160000000000001"/>
    <x v="39"/>
    <x v="33"/>
    <x v="39"/>
    <x v="1"/>
    <n v="32.32"/>
    <n v="4.7619047620000003"/>
    <n v="1.6160000000000001"/>
    <n v="6.5"/>
  </r>
  <r>
    <s v="479-26-8945"/>
    <x v="1"/>
    <x v="1"/>
    <x v="0"/>
    <x v="0"/>
    <x v="0"/>
    <n v="16.489999999999998"/>
    <n v="2"/>
    <n v="1.649"/>
    <x v="40"/>
    <x v="28"/>
    <x v="40"/>
    <x v="1"/>
    <n v="32.979999999999997"/>
    <n v="4.7619047620000003"/>
    <n v="1.649"/>
    <n v="4.5999999999999996"/>
  </r>
  <r>
    <s v="649-29-6775"/>
    <x v="2"/>
    <x v="1"/>
    <x v="1"/>
    <x v="0"/>
    <x v="1"/>
    <n v="33.520000000000003"/>
    <n v="1"/>
    <n v="1.6759999999999999"/>
    <x v="41"/>
    <x v="13"/>
    <x v="41"/>
    <x v="0"/>
    <n v="33.520000000000003"/>
    <n v="4.7619047620000003"/>
    <n v="1.6759999999999999"/>
    <n v="6.7"/>
  </r>
  <r>
    <s v="123-39-3349"/>
    <x v="2"/>
    <x v="0"/>
    <x v="1"/>
    <x v="0"/>
    <x v="1"/>
    <n v="33.520000000000003"/>
    <n v="1"/>
    <n v="1.6759999999999999"/>
    <x v="41"/>
    <x v="13"/>
    <x v="41"/>
    <x v="0"/>
    <n v="33.520000000000003"/>
    <n v="4.7619047620000003"/>
    <n v="1.6759999999999999"/>
    <n v="1.6"/>
  </r>
  <r>
    <s v="574-31-8277"/>
    <x v="0"/>
    <x v="1"/>
    <x v="0"/>
    <x v="0"/>
    <x v="1"/>
    <n v="33.630000000000003"/>
    <n v="1"/>
    <n v="1.6815"/>
    <x v="42"/>
    <x v="34"/>
    <x v="42"/>
    <x v="0"/>
    <n v="33.630000000000003"/>
    <n v="4.7619047620000003"/>
    <n v="1.6815"/>
    <n v="5.6"/>
  </r>
  <r>
    <s v="674-65-2938"/>
    <x v="2"/>
    <x v="1"/>
    <x v="0"/>
    <x v="0"/>
    <x v="1"/>
    <n v="33.630000000000003"/>
    <n v="1"/>
    <n v="1.6815"/>
    <x v="42"/>
    <x v="34"/>
    <x v="42"/>
    <x v="0"/>
    <n v="33.630000000000003"/>
    <n v="4.7619047620000003"/>
    <n v="1.6815"/>
    <n v="5.6"/>
  </r>
  <r>
    <s v="489-43-2972"/>
    <x v="2"/>
    <x v="1"/>
    <x v="0"/>
    <x v="0"/>
    <x v="1"/>
    <n v="33.630000000000003"/>
    <n v="1"/>
    <n v="1.6815"/>
    <x v="42"/>
    <x v="34"/>
    <x v="42"/>
    <x v="0"/>
    <n v="33.630000000000003"/>
    <n v="4.7619047620000003"/>
    <n v="1.6815"/>
    <n v="1.7"/>
  </r>
  <r>
    <s v="320-85-2052"/>
    <x v="0"/>
    <x v="1"/>
    <x v="1"/>
    <x v="1"/>
    <x v="0"/>
    <n v="34.81"/>
    <n v="1"/>
    <n v="1.7404999999999999"/>
    <x v="43"/>
    <x v="9"/>
    <x v="43"/>
    <x v="0"/>
    <n v="34.81"/>
    <n v="4.7619047620000003"/>
    <n v="1.7404999999999999"/>
    <n v="7"/>
  </r>
  <r>
    <s v="463-98-2251"/>
    <x v="2"/>
    <x v="1"/>
    <x v="1"/>
    <x v="0"/>
    <x v="0"/>
    <n v="34.81"/>
    <n v="1"/>
    <n v="1.7404999999999999"/>
    <x v="43"/>
    <x v="9"/>
    <x v="43"/>
    <x v="2"/>
    <n v="34.81"/>
    <n v="4.7619047620000003"/>
    <n v="1.7404999999999999"/>
    <n v="7"/>
  </r>
  <r>
    <s v="511-69-3141"/>
    <x v="0"/>
    <x v="1"/>
    <x v="1"/>
    <x v="1"/>
    <x v="0"/>
    <n v="34.81"/>
    <n v="1"/>
    <n v="1.7404999999999999"/>
    <x v="43"/>
    <x v="9"/>
    <x v="43"/>
    <x v="0"/>
    <n v="34.81"/>
    <n v="4.7619047620000003"/>
    <n v="1.7404999999999999"/>
    <n v="7"/>
  </r>
  <r>
    <s v="351-97-9024"/>
    <x v="1"/>
    <x v="2"/>
    <x v="0"/>
    <x v="0"/>
    <x v="5"/>
    <n v="11.94"/>
    <n v="3"/>
    <n v="1.7909999999999999"/>
    <x v="44"/>
    <x v="35"/>
    <x v="44"/>
    <x v="0"/>
    <n v="35.82"/>
    <n v="4.7619047620000003"/>
    <n v="1.7909999999999999"/>
    <n v="8.1"/>
  </r>
  <r>
    <s v="482-17-1179"/>
    <x v="0"/>
    <x v="2"/>
    <x v="0"/>
    <x v="0"/>
    <x v="5"/>
    <n v="11.94"/>
    <n v="3"/>
    <n v="1.7909999999999999"/>
    <x v="44"/>
    <x v="35"/>
    <x v="44"/>
    <x v="2"/>
    <n v="35.82"/>
    <n v="4.7619047620000003"/>
    <n v="1.7909999999999999"/>
    <n v="8.1"/>
  </r>
  <r>
    <s v="630-90-1914"/>
    <x v="1"/>
    <x v="2"/>
    <x v="0"/>
    <x v="0"/>
    <x v="2"/>
    <n v="11.94"/>
    <n v="3"/>
    <n v="1.7909999999999999"/>
    <x v="44"/>
    <x v="35"/>
    <x v="44"/>
    <x v="0"/>
    <n v="35.82"/>
    <n v="4.7619047620000003"/>
    <n v="1.7909999999999999"/>
    <n v="8.1"/>
  </r>
  <r>
    <s v="729-46-7422"/>
    <x v="0"/>
    <x v="0"/>
    <x v="1"/>
    <x v="0"/>
    <x v="2"/>
    <n v="35.89"/>
    <n v="1"/>
    <n v="1.7945"/>
    <x v="45"/>
    <x v="36"/>
    <x v="45"/>
    <x v="2"/>
    <n v="35.89"/>
    <n v="4.7619047620000003"/>
    <n v="1.7945"/>
    <n v="7.9"/>
  </r>
  <r>
    <s v="967-54-6262"/>
    <x v="0"/>
    <x v="1"/>
    <x v="1"/>
    <x v="0"/>
    <x v="2"/>
    <n v="35.89"/>
    <n v="1"/>
    <n v="1.7945"/>
    <x v="45"/>
    <x v="36"/>
    <x v="45"/>
    <x v="2"/>
    <n v="35.89"/>
    <n v="4.7619047620000003"/>
    <n v="1.7945"/>
    <n v="7.9"/>
  </r>
  <r>
    <s v="523-38-0215"/>
    <x v="0"/>
    <x v="1"/>
    <x v="1"/>
    <x v="0"/>
    <x v="3"/>
    <n v="37"/>
    <n v="1"/>
    <n v="1.85"/>
    <x v="46"/>
    <x v="37"/>
    <x v="46"/>
    <x v="2"/>
    <n v="37"/>
    <n v="4.7619047620000003"/>
    <n v="1.85"/>
    <n v="7.9"/>
  </r>
  <r>
    <s v="390-17-5806"/>
    <x v="0"/>
    <x v="1"/>
    <x v="0"/>
    <x v="1"/>
    <x v="2"/>
    <n v="38.42"/>
    <n v="1"/>
    <n v="1.921"/>
    <x v="47"/>
    <x v="11"/>
    <x v="47"/>
    <x v="0"/>
    <n v="38.42"/>
    <n v="4.7619047620000003"/>
    <n v="1.921"/>
    <n v="8.6"/>
  </r>
  <r>
    <s v="650-86-3572"/>
    <x v="0"/>
    <x v="0"/>
    <x v="0"/>
    <x v="0"/>
    <x v="2"/>
    <n v="38.42"/>
    <n v="1"/>
    <n v="1.921"/>
    <x v="47"/>
    <x v="11"/>
    <x v="47"/>
    <x v="0"/>
    <n v="38.42"/>
    <n v="4.7619047620000003"/>
    <n v="1.921"/>
    <n v="8.6"/>
  </r>
  <r>
    <s v="568-25-3046"/>
    <x v="0"/>
    <x v="1"/>
    <x v="0"/>
    <x v="0"/>
    <x v="2"/>
    <n v="38.42"/>
    <n v="1"/>
    <n v="1.921"/>
    <x v="47"/>
    <x v="11"/>
    <x v="47"/>
    <x v="0"/>
    <n v="38.42"/>
    <n v="4.7619047620000003"/>
    <n v="1.921"/>
    <n v="8.6"/>
  </r>
  <r>
    <s v="423-80-4207"/>
    <x v="0"/>
    <x v="0"/>
    <x v="0"/>
    <x v="0"/>
    <x v="2"/>
    <n v="38.42"/>
    <n v="1"/>
    <n v="1.921"/>
    <x v="47"/>
    <x v="11"/>
    <x v="47"/>
    <x v="0"/>
    <n v="38.42"/>
    <n v="4.7619047620000003"/>
    <n v="1.921"/>
    <n v="1.8"/>
  </r>
  <r>
    <s v="575-67-1508"/>
    <x v="1"/>
    <x v="2"/>
    <x v="1"/>
    <x v="0"/>
    <x v="5"/>
    <n v="38.6"/>
    <n v="1"/>
    <n v="1.93"/>
    <x v="48"/>
    <x v="38"/>
    <x v="48"/>
    <x v="1"/>
    <n v="38.6"/>
    <n v="4.7619047620000003"/>
    <n v="1.93"/>
    <n v="6.7"/>
  </r>
  <r>
    <s v="584-43-6478"/>
    <x v="1"/>
    <x v="2"/>
    <x v="1"/>
    <x v="0"/>
    <x v="5"/>
    <n v="38.6"/>
    <n v="1"/>
    <n v="1.93"/>
    <x v="48"/>
    <x v="38"/>
    <x v="48"/>
    <x v="1"/>
    <n v="38.6"/>
    <n v="4.7619047620000003"/>
    <n v="1.93"/>
    <n v="6.7"/>
  </r>
  <r>
    <s v="573-10-3877"/>
    <x v="2"/>
    <x v="1"/>
    <x v="1"/>
    <x v="0"/>
    <x v="4"/>
    <n v="39.01"/>
    <n v="1"/>
    <n v="1.9504999999999999"/>
    <x v="49"/>
    <x v="31"/>
    <x v="49"/>
    <x v="2"/>
    <n v="39.01"/>
    <n v="4.7619047620000003"/>
    <n v="1.9504999999999999"/>
    <n v="4.7"/>
  </r>
  <r>
    <s v="449-27-2918"/>
    <x v="0"/>
    <x v="1"/>
    <x v="0"/>
    <x v="1"/>
    <x v="0"/>
    <n v="39.119999999999997"/>
    <n v="1"/>
    <n v="1.956"/>
    <x v="50"/>
    <x v="39"/>
    <x v="50"/>
    <x v="0"/>
    <n v="39.119999999999997"/>
    <n v="4.7619047620000003"/>
    <n v="1.956"/>
    <n v="9.6"/>
  </r>
  <r>
    <s v="822-65-9066"/>
    <x v="2"/>
    <x v="1"/>
    <x v="0"/>
    <x v="0"/>
    <x v="0"/>
    <n v="39.119999999999997"/>
    <n v="1"/>
    <n v="1.956"/>
    <x v="50"/>
    <x v="39"/>
    <x v="50"/>
    <x v="2"/>
    <n v="39.119999999999997"/>
    <n v="4.7619047620000003"/>
    <n v="1.956"/>
    <n v="9.6"/>
  </r>
  <r>
    <s v="619-24-6828"/>
    <x v="0"/>
    <x v="1"/>
    <x v="1"/>
    <x v="1"/>
    <x v="0"/>
    <n v="39.119999999999997"/>
    <n v="1"/>
    <n v="1.956"/>
    <x v="50"/>
    <x v="39"/>
    <x v="50"/>
    <x v="0"/>
    <n v="39.119999999999997"/>
    <n v="4.7619047620000003"/>
    <n v="1.956"/>
    <n v="9.6"/>
  </r>
  <r>
    <s v="468-67-9947"/>
    <x v="0"/>
    <x v="1"/>
    <x v="1"/>
    <x v="0"/>
    <x v="2"/>
    <n v="39.119999999999997"/>
    <n v="1"/>
    <n v="1.956"/>
    <x v="50"/>
    <x v="39"/>
    <x v="50"/>
    <x v="0"/>
    <n v="39.119999999999997"/>
    <n v="4.7619047620000003"/>
    <n v="1.956"/>
    <n v="9.6"/>
  </r>
  <r>
    <s v="622-20-1945"/>
    <x v="0"/>
    <x v="1"/>
    <x v="1"/>
    <x v="1"/>
    <x v="4"/>
    <n v="39.42"/>
    <n v="1"/>
    <n v="1.9710000000000001"/>
    <x v="51"/>
    <x v="40"/>
    <x v="51"/>
    <x v="0"/>
    <n v="39.42"/>
    <n v="4.7619047620000003"/>
    <n v="1.9710000000000001"/>
    <n v="8.4"/>
  </r>
  <r>
    <s v="522-36-8341"/>
    <x v="0"/>
    <x v="0"/>
    <x v="1"/>
    <x v="1"/>
    <x v="4"/>
    <n v="39.42"/>
    <n v="1"/>
    <n v="1.9710000000000001"/>
    <x v="51"/>
    <x v="40"/>
    <x v="51"/>
    <x v="0"/>
    <n v="39.42"/>
    <n v="4.7619047620000003"/>
    <n v="1.9710000000000001"/>
    <n v="1.9"/>
  </r>
  <r>
    <s v="239-29-7519"/>
    <x v="2"/>
    <x v="1"/>
    <x v="0"/>
    <x v="0"/>
    <x v="5"/>
    <n v="39.479999999999997"/>
    <n v="1"/>
    <n v="1.974"/>
    <x v="52"/>
    <x v="41"/>
    <x v="52"/>
    <x v="0"/>
    <n v="39.479999999999997"/>
    <n v="4.7619047620000003"/>
    <n v="1.974"/>
    <n v="6.5"/>
  </r>
  <r>
    <s v="528-87-5606"/>
    <x v="0"/>
    <x v="1"/>
    <x v="0"/>
    <x v="1"/>
    <x v="5"/>
    <n v="39.479999999999997"/>
    <n v="1"/>
    <n v="1.974"/>
    <x v="52"/>
    <x v="41"/>
    <x v="52"/>
    <x v="0"/>
    <n v="39.479999999999997"/>
    <n v="4.7619047620000003"/>
    <n v="1.974"/>
    <n v="6.5"/>
  </r>
  <r>
    <s v="608-05-3804"/>
    <x v="2"/>
    <x v="1"/>
    <x v="0"/>
    <x v="0"/>
    <x v="5"/>
    <n v="39.75"/>
    <n v="1"/>
    <n v="1.9875"/>
    <x v="53"/>
    <x v="42"/>
    <x v="53"/>
    <x v="0"/>
    <n v="39.75"/>
    <n v="4.7619047620000003"/>
    <n v="1.9875"/>
    <n v="6.1"/>
  </r>
  <r>
    <s v="819-57-7615"/>
    <x v="2"/>
    <x v="1"/>
    <x v="0"/>
    <x v="0"/>
    <x v="5"/>
    <n v="39.75"/>
    <n v="1"/>
    <n v="1.9875"/>
    <x v="53"/>
    <x v="42"/>
    <x v="53"/>
    <x v="0"/>
    <n v="39.75"/>
    <n v="4.7619047620000003"/>
    <n v="1.9875"/>
    <n v="6.1"/>
  </r>
  <r>
    <s v="893-26-2443"/>
    <x v="2"/>
    <x v="1"/>
    <x v="0"/>
    <x v="0"/>
    <x v="5"/>
    <n v="39.75"/>
    <n v="1"/>
    <n v="1.9875"/>
    <x v="53"/>
    <x v="42"/>
    <x v="53"/>
    <x v="0"/>
    <n v="39.75"/>
    <n v="4.7619047620000003"/>
    <n v="1.9875"/>
    <n v="2"/>
  </r>
  <r>
    <s v="233-67-5758"/>
    <x v="0"/>
    <x v="1"/>
    <x v="1"/>
    <x v="0"/>
    <x v="4"/>
    <n v="40.35"/>
    <n v="1"/>
    <n v="2.0175000000000001"/>
    <x v="54"/>
    <x v="38"/>
    <x v="54"/>
    <x v="1"/>
    <n v="40.35"/>
    <n v="4.7619047620000003"/>
    <n v="2.0175000000000001"/>
    <n v="6.2"/>
  </r>
  <r>
    <s v="324-92-3863"/>
    <x v="1"/>
    <x v="2"/>
    <x v="0"/>
    <x v="0"/>
    <x v="5"/>
    <n v="20.89"/>
    <n v="2"/>
    <n v="2.089"/>
    <x v="55"/>
    <x v="28"/>
    <x v="55"/>
    <x v="0"/>
    <n v="41.78"/>
    <n v="4.7619047620000003"/>
    <n v="2.089"/>
    <n v="9.8000000000000007"/>
  </r>
  <r>
    <s v="729-76-9586"/>
    <x v="1"/>
    <x v="2"/>
    <x v="0"/>
    <x v="0"/>
    <x v="5"/>
    <n v="20.89"/>
    <n v="2"/>
    <n v="2.089"/>
    <x v="55"/>
    <x v="28"/>
    <x v="55"/>
    <x v="0"/>
    <n v="41.78"/>
    <n v="4.7619047620000003"/>
    <n v="2.089"/>
    <n v="9.8000000000000007"/>
  </r>
  <r>
    <s v="348-87-1347"/>
    <x v="1"/>
    <x v="2"/>
    <x v="0"/>
    <x v="0"/>
    <x v="5"/>
    <n v="20.89"/>
    <n v="2"/>
    <n v="2.089"/>
    <x v="55"/>
    <x v="28"/>
    <x v="55"/>
    <x v="0"/>
    <n v="41.78"/>
    <n v="4.7619047620000003"/>
    <n v="2.089"/>
    <n v="9.8000000000000007"/>
  </r>
  <r>
    <s v="687-15-1097"/>
    <x v="0"/>
    <x v="1"/>
    <x v="0"/>
    <x v="0"/>
    <x v="4"/>
    <n v="21.12"/>
    <n v="2"/>
    <n v="2.1120000000000001"/>
    <x v="56"/>
    <x v="43"/>
    <x v="56"/>
    <x v="0"/>
    <n v="42.24"/>
    <n v="4.7619047620000003"/>
    <n v="2.1120000000000001"/>
    <n v="9.6999999999999993"/>
  </r>
  <r>
    <s v="426-60-8898"/>
    <x v="0"/>
    <x v="1"/>
    <x v="0"/>
    <x v="0"/>
    <x v="4"/>
    <n v="21.12"/>
    <n v="2"/>
    <n v="2.1120000000000001"/>
    <x v="56"/>
    <x v="43"/>
    <x v="56"/>
    <x v="0"/>
    <n v="42.24"/>
    <n v="4.7619047620000003"/>
    <n v="2.1120000000000001"/>
    <n v="2.1"/>
  </r>
  <r>
    <s v="504-35-8843"/>
    <x v="1"/>
    <x v="2"/>
    <x v="1"/>
    <x v="0"/>
    <x v="0"/>
    <n v="42.47"/>
    <n v="1"/>
    <n v="2.1234999999999999"/>
    <x v="57"/>
    <x v="44"/>
    <x v="57"/>
    <x v="0"/>
    <n v="42.47"/>
    <n v="4.7619047620000003"/>
    <n v="2.1234999999999999"/>
    <n v="5.7"/>
  </r>
  <r>
    <s v="193-39-0685"/>
    <x v="0"/>
    <x v="0"/>
    <x v="0"/>
    <x v="0"/>
    <x v="0"/>
    <n v="42.85"/>
    <n v="1"/>
    <n v="2.1425000000000001"/>
    <x v="58"/>
    <x v="45"/>
    <x v="8"/>
    <x v="2"/>
    <n v="42.85"/>
    <n v="4.7619047620000003"/>
    <n v="2.1425000000000001"/>
    <n v="9.3000000000000007"/>
  </r>
  <r>
    <s v="722-13-2115"/>
    <x v="0"/>
    <x v="1"/>
    <x v="0"/>
    <x v="0"/>
    <x v="0"/>
    <n v="42.85"/>
    <n v="1"/>
    <n v="2.1425000000000001"/>
    <x v="58"/>
    <x v="45"/>
    <x v="8"/>
    <x v="0"/>
    <n v="42.85"/>
    <n v="4.7619047620000003"/>
    <n v="2.1425000000000001"/>
    <n v="9.3000000000000007"/>
  </r>
  <r>
    <s v="105-10-6182"/>
    <x v="1"/>
    <x v="2"/>
    <x v="0"/>
    <x v="0"/>
    <x v="1"/>
    <n v="21.48"/>
    <n v="2"/>
    <n v="2.1480000000000001"/>
    <x v="59"/>
    <x v="46"/>
    <x v="58"/>
    <x v="1"/>
    <n v="42.96"/>
    <n v="4.7619047620000003"/>
    <n v="2.1480000000000001"/>
    <n v="6.6"/>
  </r>
  <r>
    <s v="530-75-7833"/>
    <x v="1"/>
    <x v="2"/>
    <x v="0"/>
    <x v="0"/>
    <x v="1"/>
    <n v="21.48"/>
    <n v="2"/>
    <n v="2.1480000000000001"/>
    <x v="59"/>
    <x v="46"/>
    <x v="58"/>
    <x v="1"/>
    <n v="42.96"/>
    <n v="4.7619047620000003"/>
    <n v="2.1480000000000001"/>
    <n v="6.6"/>
  </r>
  <r>
    <s v="569-71-4390"/>
    <x v="1"/>
    <x v="1"/>
    <x v="1"/>
    <x v="0"/>
    <x v="0"/>
    <n v="21.87"/>
    <n v="2"/>
    <n v="2.1869999999999998"/>
    <x v="60"/>
    <x v="6"/>
    <x v="59"/>
    <x v="1"/>
    <n v="43.74"/>
    <n v="4.7619047620000003"/>
    <n v="2.1869999999999998"/>
    <n v="6.9"/>
  </r>
  <r>
    <s v="983-11-6481"/>
    <x v="1"/>
    <x v="1"/>
    <x v="1"/>
    <x v="0"/>
    <x v="2"/>
    <n v="21.87"/>
    <n v="2"/>
    <n v="2.1869999999999998"/>
    <x v="60"/>
    <x v="6"/>
    <x v="59"/>
    <x v="1"/>
    <n v="43.74"/>
    <n v="4.7619047620000003"/>
    <n v="2.1869999999999998"/>
    <n v="6.9"/>
  </r>
  <r>
    <s v="470-31-3286"/>
    <x v="0"/>
    <x v="1"/>
    <x v="1"/>
    <x v="0"/>
    <x v="4"/>
    <n v="14.82"/>
    <n v="3"/>
    <n v="2.2229999999999999"/>
    <x v="61"/>
    <x v="47"/>
    <x v="60"/>
    <x v="0"/>
    <n v="44.46"/>
    <n v="4.7619047620000003"/>
    <n v="2.2229999999999999"/>
    <n v="8.6999999999999993"/>
  </r>
  <r>
    <s v="560-49-6611"/>
    <x v="0"/>
    <x v="2"/>
    <x v="0"/>
    <x v="1"/>
    <x v="0"/>
    <n v="45.58"/>
    <n v="1"/>
    <n v="2.2789999999999999"/>
    <x v="62"/>
    <x v="0"/>
    <x v="61"/>
    <x v="0"/>
    <n v="45.58"/>
    <n v="4.7619047620000003"/>
    <n v="2.2789999999999999"/>
    <n v="9.8000000000000007"/>
  </r>
  <r>
    <s v="816-73-3368"/>
    <x v="1"/>
    <x v="2"/>
    <x v="0"/>
    <x v="0"/>
    <x v="0"/>
    <n v="45.58"/>
    <n v="1"/>
    <n v="2.2789999999999999"/>
    <x v="62"/>
    <x v="0"/>
    <x v="61"/>
    <x v="0"/>
    <n v="45.58"/>
    <n v="4.7619047620000003"/>
    <n v="2.2789999999999999"/>
    <n v="9.8000000000000007"/>
  </r>
  <r>
    <s v="318-81-2368"/>
    <x v="0"/>
    <x v="0"/>
    <x v="1"/>
    <x v="1"/>
    <x v="5"/>
    <n v="46.2"/>
    <n v="1"/>
    <n v="2.31"/>
    <x v="63"/>
    <x v="7"/>
    <x v="62"/>
    <x v="0"/>
    <n v="46.2"/>
    <n v="4.7619047620000003"/>
    <n v="2.31"/>
    <n v="6.3"/>
  </r>
  <r>
    <s v="935-61-7647"/>
    <x v="0"/>
    <x v="1"/>
    <x v="1"/>
    <x v="0"/>
    <x v="2"/>
    <n v="46.2"/>
    <n v="1"/>
    <n v="2.31"/>
    <x v="63"/>
    <x v="7"/>
    <x v="62"/>
    <x v="0"/>
    <n v="46.2"/>
    <n v="4.7619047620000003"/>
    <n v="2.31"/>
    <n v="6.3"/>
  </r>
  <r>
    <s v="278-52-8382"/>
    <x v="0"/>
    <x v="0"/>
    <x v="1"/>
    <x v="1"/>
    <x v="5"/>
    <n v="46.2"/>
    <n v="1"/>
    <n v="2.31"/>
    <x v="63"/>
    <x v="7"/>
    <x v="62"/>
    <x v="0"/>
    <n v="46.2"/>
    <n v="4.7619047620000003"/>
    <n v="2.31"/>
    <n v="6.3"/>
  </r>
  <r>
    <s v="651-96-5970"/>
    <x v="1"/>
    <x v="1"/>
    <x v="1"/>
    <x v="0"/>
    <x v="1"/>
    <n v="46.41"/>
    <n v="1"/>
    <n v="2.3205"/>
    <x v="64"/>
    <x v="18"/>
    <x v="63"/>
    <x v="2"/>
    <n v="46.41"/>
    <n v="4.7619047620000003"/>
    <n v="2.3205"/>
    <n v="4"/>
  </r>
  <r>
    <s v="873-53-3465"/>
    <x v="1"/>
    <x v="0"/>
    <x v="1"/>
    <x v="0"/>
    <x v="1"/>
    <n v="46.41"/>
    <n v="1"/>
    <n v="2.3205"/>
    <x v="64"/>
    <x v="18"/>
    <x v="63"/>
    <x v="2"/>
    <n v="46.41"/>
    <n v="4.7619047620000003"/>
    <n v="2.3205"/>
    <n v="2.2000000000000002"/>
  </r>
  <r>
    <s v="324-47-7431"/>
    <x v="1"/>
    <x v="2"/>
    <x v="0"/>
    <x v="0"/>
    <x v="2"/>
    <n v="23.48"/>
    <n v="2"/>
    <n v="2.3479999999999999"/>
    <x v="65"/>
    <x v="45"/>
    <x v="64"/>
    <x v="0"/>
    <n v="46.96"/>
    <n v="4.7619047620000003"/>
    <n v="2.3479999999999999"/>
    <n v="7.9"/>
  </r>
  <r>
    <s v="442-48-3607"/>
    <x v="1"/>
    <x v="1"/>
    <x v="1"/>
    <x v="0"/>
    <x v="2"/>
    <n v="23.48"/>
    <n v="2"/>
    <n v="2.3479999999999999"/>
    <x v="65"/>
    <x v="45"/>
    <x v="64"/>
    <x v="0"/>
    <n v="46.96"/>
    <n v="4.7619047620000003"/>
    <n v="2.3479999999999999"/>
    <n v="7.9"/>
  </r>
  <r>
    <s v="911-71-2047"/>
    <x v="1"/>
    <x v="2"/>
    <x v="0"/>
    <x v="0"/>
    <x v="2"/>
    <n v="23.48"/>
    <n v="2"/>
    <n v="2.3479999999999999"/>
    <x v="65"/>
    <x v="45"/>
    <x v="64"/>
    <x v="0"/>
    <n v="46.96"/>
    <n v="4.7619047620000003"/>
    <n v="2.3479999999999999"/>
    <n v="7.9"/>
  </r>
  <r>
    <s v="614-72-3554"/>
    <x v="0"/>
    <x v="1"/>
    <x v="1"/>
    <x v="0"/>
    <x v="2"/>
    <n v="23.48"/>
    <n v="2"/>
    <n v="2.3479999999999999"/>
    <x v="65"/>
    <x v="45"/>
    <x v="64"/>
    <x v="0"/>
    <n v="46.96"/>
    <n v="4.7619047620000003"/>
    <n v="2.3479999999999999"/>
    <n v="7.9"/>
  </r>
  <r>
    <s v="169-52-4504"/>
    <x v="0"/>
    <x v="2"/>
    <x v="1"/>
    <x v="1"/>
    <x v="5"/>
    <n v="15.69"/>
    <n v="3"/>
    <n v="2.3534999999999999"/>
    <x v="66"/>
    <x v="45"/>
    <x v="61"/>
    <x v="2"/>
    <n v="47.07"/>
    <n v="4.7619047620000003"/>
    <n v="2.3534999999999999"/>
    <n v="5.8"/>
  </r>
  <r>
    <s v="827-97-3769"/>
    <x v="1"/>
    <x v="2"/>
    <x v="1"/>
    <x v="0"/>
    <x v="5"/>
    <n v="15.69"/>
    <n v="3"/>
    <n v="2.3534999999999999"/>
    <x v="66"/>
    <x v="45"/>
    <x v="61"/>
    <x v="2"/>
    <n v="47.07"/>
    <n v="4.7619047620000003"/>
    <n v="2.3534999999999999"/>
    <n v="5.8"/>
  </r>
  <r>
    <s v="605-03-2706"/>
    <x v="1"/>
    <x v="2"/>
    <x v="1"/>
    <x v="1"/>
    <x v="4"/>
    <n v="15.8"/>
    <n v="3"/>
    <n v="2.37"/>
    <x v="67"/>
    <x v="48"/>
    <x v="65"/>
    <x v="0"/>
    <n v="47.4"/>
    <n v="4.7619047620000003"/>
    <n v="2.37"/>
    <n v="9.5"/>
  </r>
  <r>
    <s v="113-77-2365"/>
    <x v="1"/>
    <x v="2"/>
    <x v="1"/>
    <x v="1"/>
    <x v="4"/>
    <n v="15.8"/>
    <n v="3"/>
    <n v="2.37"/>
    <x v="67"/>
    <x v="48"/>
    <x v="65"/>
    <x v="0"/>
    <n v="47.4"/>
    <n v="4.7619047620000003"/>
    <n v="2.37"/>
    <n v="2.2999999999999998"/>
  </r>
  <r>
    <s v="395-55-1933"/>
    <x v="2"/>
    <x v="1"/>
    <x v="1"/>
    <x v="0"/>
    <x v="1"/>
    <n v="47.44"/>
    <n v="1"/>
    <n v="2.3719999999999999"/>
    <x v="68"/>
    <x v="21"/>
    <x v="1"/>
    <x v="0"/>
    <n v="47.44"/>
    <n v="4.7619047620000003"/>
    <n v="2.3719999999999999"/>
    <n v="6.8"/>
  </r>
  <r>
    <s v="837-55-7229"/>
    <x v="0"/>
    <x v="1"/>
    <x v="1"/>
    <x v="1"/>
    <x v="1"/>
    <n v="47.44"/>
    <n v="1"/>
    <n v="2.3719999999999999"/>
    <x v="68"/>
    <x v="21"/>
    <x v="1"/>
    <x v="2"/>
    <n v="47.44"/>
    <n v="4.7619047620000003"/>
    <n v="2.3719999999999999"/>
    <n v="6.8"/>
  </r>
  <r>
    <s v="565-88-2449"/>
    <x v="0"/>
    <x v="1"/>
    <x v="1"/>
    <x v="0"/>
    <x v="1"/>
    <n v="47.44"/>
    <n v="1"/>
    <n v="2.3719999999999999"/>
    <x v="68"/>
    <x v="21"/>
    <x v="1"/>
    <x v="0"/>
    <n v="47.44"/>
    <n v="4.7619047620000003"/>
    <n v="2.3719999999999999"/>
    <n v="6.8"/>
  </r>
  <r>
    <s v="522-33-9366"/>
    <x v="0"/>
    <x v="0"/>
    <x v="1"/>
    <x v="0"/>
    <x v="2"/>
    <n v="48.61"/>
    <n v="1"/>
    <n v="2.4304999999999999"/>
    <x v="69"/>
    <x v="42"/>
    <x v="41"/>
    <x v="0"/>
    <n v="48.61"/>
    <n v="4.7619047620000003"/>
    <n v="2.4304999999999999"/>
    <n v="4.4000000000000004"/>
  </r>
  <r>
    <s v="735-06-4124"/>
    <x v="0"/>
    <x v="1"/>
    <x v="1"/>
    <x v="0"/>
    <x v="2"/>
    <n v="48.61"/>
    <n v="1"/>
    <n v="2.4304999999999999"/>
    <x v="69"/>
    <x v="42"/>
    <x v="41"/>
    <x v="0"/>
    <n v="48.61"/>
    <n v="4.7619047620000003"/>
    <n v="2.4304999999999999"/>
    <n v="4.4000000000000004"/>
  </r>
  <r>
    <s v="163-56-7055"/>
    <x v="0"/>
    <x v="0"/>
    <x v="0"/>
    <x v="0"/>
    <x v="1"/>
    <n v="48.71"/>
    <n v="1"/>
    <n v="2.4355000000000002"/>
    <x v="70"/>
    <x v="39"/>
    <x v="66"/>
    <x v="0"/>
    <n v="48.71"/>
    <n v="4.7619047620000003"/>
    <n v="2.4355000000000002"/>
    <n v="4.0999999999999996"/>
  </r>
  <r>
    <s v="388-44-1683"/>
    <x v="2"/>
    <x v="1"/>
    <x v="1"/>
    <x v="0"/>
    <x v="0"/>
    <n v="25.31"/>
    <n v="2"/>
    <n v="2.5310000000000001"/>
    <x v="71"/>
    <x v="23"/>
    <x v="67"/>
    <x v="0"/>
    <n v="50.62"/>
    <n v="4.7619047620000003"/>
    <n v="2.5310000000000001"/>
    <n v="7.2"/>
  </r>
  <r>
    <s v="825-94-5922"/>
    <x v="2"/>
    <x v="1"/>
    <x v="1"/>
    <x v="0"/>
    <x v="0"/>
    <n v="25.31"/>
    <n v="2"/>
    <n v="2.5310000000000001"/>
    <x v="71"/>
    <x v="23"/>
    <x v="67"/>
    <x v="0"/>
    <n v="50.62"/>
    <n v="4.7619047620000003"/>
    <n v="2.5310000000000001"/>
    <n v="7.2"/>
  </r>
  <r>
    <s v="404-16-4747"/>
    <x v="0"/>
    <x v="1"/>
    <x v="1"/>
    <x v="0"/>
    <x v="0"/>
    <n v="25.31"/>
    <n v="2"/>
    <n v="2.5310000000000001"/>
    <x v="71"/>
    <x v="23"/>
    <x v="67"/>
    <x v="0"/>
    <n v="50.62"/>
    <n v="4.7619047620000003"/>
    <n v="2.5310000000000001"/>
    <n v="7.2"/>
  </r>
  <r>
    <s v="516-77-6464"/>
    <x v="1"/>
    <x v="1"/>
    <x v="0"/>
    <x v="1"/>
    <x v="2"/>
    <n v="10.16"/>
    <n v="5"/>
    <n v="2.54"/>
    <x v="72"/>
    <x v="49"/>
    <x v="68"/>
    <x v="1"/>
    <n v="50.8"/>
    <n v="4.7619047620000003"/>
    <n v="2.54"/>
    <n v="4.0999999999999996"/>
  </r>
  <r>
    <s v="659-65-8956"/>
    <x v="1"/>
    <x v="1"/>
    <x v="0"/>
    <x v="0"/>
    <x v="1"/>
    <n v="51.36"/>
    <n v="1"/>
    <n v="2.5680000000000001"/>
    <x v="73"/>
    <x v="30"/>
    <x v="69"/>
    <x v="1"/>
    <n v="51.36"/>
    <n v="4.7619047620000003"/>
    <n v="2.5680000000000001"/>
    <n v="5.2"/>
  </r>
  <r>
    <s v="615-59-5717"/>
    <x v="1"/>
    <x v="0"/>
    <x v="0"/>
    <x v="0"/>
    <x v="1"/>
    <n v="51.36"/>
    <n v="1"/>
    <n v="2.5680000000000001"/>
    <x v="73"/>
    <x v="30"/>
    <x v="69"/>
    <x v="1"/>
    <n v="51.36"/>
    <n v="4.7619047620000003"/>
    <n v="2.5680000000000001"/>
    <n v="2.4"/>
  </r>
  <r>
    <s v="277-38-2859"/>
    <x v="0"/>
    <x v="0"/>
    <x v="0"/>
    <x v="0"/>
    <x v="1"/>
    <n v="51.47"/>
    <n v="1"/>
    <n v="2.5735000000000001"/>
    <x v="74"/>
    <x v="50"/>
    <x v="70"/>
    <x v="0"/>
    <n v="51.47"/>
    <n v="4.7619047620000003"/>
    <n v="2.5735000000000001"/>
    <n v="8.5"/>
  </r>
  <r>
    <s v="413-20-6708"/>
    <x v="0"/>
    <x v="0"/>
    <x v="0"/>
    <x v="1"/>
    <x v="1"/>
    <n v="51.47"/>
    <n v="1"/>
    <n v="2.5735000000000001"/>
    <x v="74"/>
    <x v="50"/>
    <x v="70"/>
    <x v="0"/>
    <n v="51.47"/>
    <n v="4.7619047620000003"/>
    <n v="2.5735000000000001"/>
    <n v="8.5"/>
  </r>
  <r>
    <s v="145-38-7581"/>
    <x v="1"/>
    <x v="0"/>
    <x v="0"/>
    <x v="0"/>
    <x v="2"/>
    <n v="51.47"/>
    <n v="1"/>
    <n v="2.5735000000000001"/>
    <x v="74"/>
    <x v="50"/>
    <x v="70"/>
    <x v="1"/>
    <n v="51.47"/>
    <n v="4.7619047620000003"/>
    <n v="2.5735000000000001"/>
    <n v="8.5"/>
  </r>
  <r>
    <s v="382-41-1449"/>
    <x v="0"/>
    <x v="0"/>
    <x v="0"/>
    <x v="0"/>
    <x v="1"/>
    <n v="51.47"/>
    <n v="1"/>
    <n v="2.5735000000000001"/>
    <x v="74"/>
    <x v="50"/>
    <x v="70"/>
    <x v="0"/>
    <n v="51.47"/>
    <n v="4.7619047620000003"/>
    <n v="2.5735000000000001"/>
    <n v="8.5"/>
  </r>
  <r>
    <s v="885-56-0389"/>
    <x v="0"/>
    <x v="1"/>
    <x v="0"/>
    <x v="0"/>
    <x v="2"/>
    <n v="52.35"/>
    <n v="1"/>
    <n v="2.6175000000000002"/>
    <x v="75"/>
    <x v="41"/>
    <x v="71"/>
    <x v="0"/>
    <n v="52.35"/>
    <n v="4.7619047620000003"/>
    <n v="2.6175000000000002"/>
    <n v="4"/>
  </r>
  <r>
    <s v="807-34-3742"/>
    <x v="1"/>
    <x v="1"/>
    <x v="1"/>
    <x v="0"/>
    <x v="1"/>
    <n v="52.38"/>
    <n v="1"/>
    <n v="2.6190000000000002"/>
    <x v="76"/>
    <x v="39"/>
    <x v="26"/>
    <x v="0"/>
    <n v="52.38"/>
    <n v="4.7619047620000003"/>
    <n v="2.6190000000000002"/>
    <n v="5.8"/>
  </r>
  <r>
    <s v="325-76-4241"/>
    <x v="0"/>
    <x v="0"/>
    <x v="1"/>
    <x v="0"/>
    <x v="2"/>
    <n v="52.42"/>
    <n v="1"/>
    <n v="2.621"/>
    <x v="77"/>
    <x v="51"/>
    <x v="72"/>
    <x v="0"/>
    <n v="52.42"/>
    <n v="4.7619047620000003"/>
    <n v="2.621"/>
    <n v="6.3"/>
  </r>
  <r>
    <s v="471-06-8611"/>
    <x v="0"/>
    <x v="1"/>
    <x v="1"/>
    <x v="1"/>
    <x v="2"/>
    <n v="52.42"/>
    <n v="1"/>
    <n v="2.621"/>
    <x v="77"/>
    <x v="51"/>
    <x v="72"/>
    <x v="2"/>
    <n v="52.42"/>
    <n v="4.7619047620000003"/>
    <n v="2.621"/>
    <n v="6.3"/>
  </r>
  <r>
    <s v="111-35-9369"/>
    <x v="0"/>
    <x v="0"/>
    <x v="1"/>
    <x v="0"/>
    <x v="2"/>
    <n v="52.42"/>
    <n v="1"/>
    <n v="2.621"/>
    <x v="77"/>
    <x v="51"/>
    <x v="72"/>
    <x v="0"/>
    <n v="52.42"/>
    <n v="4.7619047620000003"/>
    <n v="2.621"/>
    <n v="6.3"/>
  </r>
  <r>
    <s v="664-14-2882"/>
    <x v="0"/>
    <x v="1"/>
    <x v="0"/>
    <x v="1"/>
    <x v="3"/>
    <n v="10.53"/>
    <n v="5"/>
    <n v="2.6324999999999998"/>
    <x v="78"/>
    <x v="15"/>
    <x v="73"/>
    <x v="2"/>
    <n v="52.65"/>
    <n v="4.7619047620000003"/>
    <n v="2.6324999999999998"/>
    <n v="5.8"/>
  </r>
  <r>
    <s v="570-29-4385"/>
    <x v="0"/>
    <x v="0"/>
    <x v="0"/>
    <x v="1"/>
    <x v="3"/>
    <n v="10.53"/>
    <n v="5"/>
    <n v="2.6324999999999998"/>
    <x v="78"/>
    <x v="15"/>
    <x v="73"/>
    <x v="2"/>
    <n v="52.65"/>
    <n v="4.7619047620000003"/>
    <n v="2.6324999999999998"/>
    <n v="2.5"/>
  </r>
  <r>
    <s v="462-78-5240"/>
    <x v="0"/>
    <x v="1"/>
    <x v="1"/>
    <x v="1"/>
    <x v="5"/>
    <n v="26.61"/>
    <n v="2"/>
    <n v="2.661"/>
    <x v="79"/>
    <x v="7"/>
    <x v="74"/>
    <x v="0"/>
    <n v="53.22"/>
    <n v="4.7619047620000003"/>
    <n v="2.661"/>
    <n v="4.2"/>
  </r>
  <r>
    <s v="559-77-8766"/>
    <x v="0"/>
    <x v="0"/>
    <x v="1"/>
    <x v="0"/>
    <x v="5"/>
    <n v="26.61"/>
    <n v="2"/>
    <n v="2.661"/>
    <x v="79"/>
    <x v="7"/>
    <x v="74"/>
    <x v="0"/>
    <n v="53.22"/>
    <n v="4.7619047620000003"/>
    <n v="2.661"/>
    <n v="4.2"/>
  </r>
  <r>
    <s v="587-73-4862"/>
    <x v="1"/>
    <x v="1"/>
    <x v="0"/>
    <x v="1"/>
    <x v="2"/>
    <n v="10.69"/>
    <n v="5"/>
    <n v="2.6724999999999999"/>
    <x v="80"/>
    <x v="39"/>
    <x v="75"/>
    <x v="1"/>
    <n v="53.45"/>
    <n v="4.7619047620000003"/>
    <n v="2.6724999999999999"/>
    <n v="7.6"/>
  </r>
  <r>
    <s v="238-45-6950"/>
    <x v="2"/>
    <x v="1"/>
    <x v="0"/>
    <x v="0"/>
    <x v="2"/>
    <n v="53.72"/>
    <n v="1"/>
    <n v="2.6859999999999999"/>
    <x v="81"/>
    <x v="47"/>
    <x v="76"/>
    <x v="1"/>
    <n v="53.72"/>
    <n v="4.7619047620000003"/>
    <n v="2.6859999999999999"/>
    <n v="6.4"/>
  </r>
  <r>
    <s v="791-26-4618"/>
    <x v="2"/>
    <x v="1"/>
    <x v="0"/>
    <x v="0"/>
    <x v="2"/>
    <n v="53.72"/>
    <n v="1"/>
    <n v="2.6859999999999999"/>
    <x v="81"/>
    <x v="47"/>
    <x v="76"/>
    <x v="1"/>
    <n v="53.72"/>
    <n v="4.7619047620000003"/>
    <n v="2.6859999999999999"/>
    <n v="6.4"/>
  </r>
  <r>
    <s v="676-10-2200"/>
    <x v="2"/>
    <x v="1"/>
    <x v="0"/>
    <x v="0"/>
    <x v="1"/>
    <n v="53.78"/>
    <n v="1"/>
    <n v="2.6890000000000001"/>
    <x v="82"/>
    <x v="52"/>
    <x v="77"/>
    <x v="0"/>
    <n v="53.78"/>
    <n v="4.7619047620000003"/>
    <n v="2.6890000000000001"/>
    <n v="4.7"/>
  </r>
  <r>
    <s v="772-44-6541"/>
    <x v="2"/>
    <x v="1"/>
    <x v="0"/>
    <x v="0"/>
    <x v="1"/>
    <n v="53.78"/>
    <n v="1"/>
    <n v="2.6890000000000001"/>
    <x v="82"/>
    <x v="52"/>
    <x v="77"/>
    <x v="0"/>
    <n v="53.78"/>
    <n v="4.7619047620000003"/>
    <n v="2.6890000000000001"/>
    <n v="2.6"/>
  </r>
  <r>
    <s v="715-84-9775"/>
    <x v="1"/>
    <x v="1"/>
    <x v="0"/>
    <x v="0"/>
    <x v="2"/>
    <n v="18.079999999999998"/>
    <n v="3"/>
    <n v="2.7120000000000002"/>
    <x v="83"/>
    <x v="53"/>
    <x v="78"/>
    <x v="1"/>
    <n v="54.24"/>
    <n v="4.7619047620000003"/>
    <n v="2.7120000000000002"/>
    <n v="8"/>
  </r>
  <r>
    <s v="895-66-0685"/>
    <x v="1"/>
    <x v="1"/>
    <x v="0"/>
    <x v="0"/>
    <x v="2"/>
    <n v="18.079999999999998"/>
    <n v="3"/>
    <n v="2.7120000000000002"/>
    <x v="83"/>
    <x v="53"/>
    <x v="78"/>
    <x v="1"/>
    <n v="54.24"/>
    <n v="4.7619047620000003"/>
    <n v="2.7120000000000002"/>
    <n v="8"/>
  </r>
  <r>
    <s v="605-83-1050"/>
    <x v="1"/>
    <x v="1"/>
    <x v="1"/>
    <x v="0"/>
    <x v="1"/>
    <n v="27.18"/>
    <n v="2"/>
    <n v="2.718"/>
    <x v="84"/>
    <x v="54"/>
    <x v="79"/>
    <x v="1"/>
    <n v="54.36"/>
    <n v="4.7619047620000003"/>
    <n v="2.718"/>
    <n v="4.3"/>
  </r>
  <r>
    <s v="519-71-8392"/>
    <x v="1"/>
    <x v="1"/>
    <x v="1"/>
    <x v="0"/>
    <x v="1"/>
    <n v="27.18"/>
    <n v="2"/>
    <n v="2.718"/>
    <x v="84"/>
    <x v="54"/>
    <x v="79"/>
    <x v="1"/>
    <n v="54.36"/>
    <n v="4.7619047620000003"/>
    <n v="2.718"/>
    <n v="2.7"/>
  </r>
  <r>
    <s v="154-74-7179"/>
    <x v="1"/>
    <x v="1"/>
    <x v="1"/>
    <x v="0"/>
    <x v="0"/>
    <n v="54.45"/>
    <n v="1"/>
    <n v="2.7225000000000001"/>
    <x v="85"/>
    <x v="55"/>
    <x v="80"/>
    <x v="1"/>
    <n v="54.45"/>
    <n v="4.7619047620000003"/>
    <n v="2.7225000000000001"/>
    <n v="7.9"/>
  </r>
  <r>
    <s v="790-38-4466"/>
    <x v="1"/>
    <x v="1"/>
    <x v="1"/>
    <x v="1"/>
    <x v="2"/>
    <n v="10.99"/>
    <n v="5"/>
    <n v="2.7475000000000001"/>
    <x v="86"/>
    <x v="27"/>
    <x v="27"/>
    <x v="2"/>
    <n v="54.95"/>
    <n v="4.7619047620000003"/>
    <n v="2.7475000000000001"/>
    <n v="9.3000000000000007"/>
  </r>
  <r>
    <s v="120-61-9879"/>
    <x v="1"/>
    <x v="1"/>
    <x v="1"/>
    <x v="0"/>
    <x v="5"/>
    <n v="13.78"/>
    <n v="4"/>
    <n v="2.7559999999999998"/>
    <x v="87"/>
    <x v="56"/>
    <x v="81"/>
    <x v="1"/>
    <n v="55.12"/>
    <n v="4.7619047620000003"/>
    <n v="2.7559999999999998"/>
    <n v="9"/>
  </r>
  <r>
    <s v="226-34-0034"/>
    <x v="1"/>
    <x v="1"/>
    <x v="1"/>
    <x v="1"/>
    <x v="5"/>
    <n v="13.78"/>
    <n v="4"/>
    <n v="2.7559999999999998"/>
    <x v="87"/>
    <x v="56"/>
    <x v="81"/>
    <x v="0"/>
    <n v="55.12"/>
    <n v="4.7619047620000003"/>
    <n v="2.7559999999999998"/>
    <n v="9"/>
  </r>
  <r>
    <s v="491-38-3499"/>
    <x v="0"/>
    <x v="2"/>
    <x v="0"/>
    <x v="0"/>
    <x v="1"/>
    <n v="55.45"/>
    <n v="1"/>
    <n v="2.7725"/>
    <x v="88"/>
    <x v="55"/>
    <x v="82"/>
    <x v="2"/>
    <n v="55.45"/>
    <n v="4.7619047620000003"/>
    <n v="2.7725"/>
    <n v="4.9000000000000004"/>
  </r>
  <r>
    <s v="816-49-1198"/>
    <x v="1"/>
    <x v="2"/>
    <x v="0"/>
    <x v="0"/>
    <x v="1"/>
    <n v="55.45"/>
    <n v="1"/>
    <n v="2.7725"/>
    <x v="88"/>
    <x v="55"/>
    <x v="82"/>
    <x v="2"/>
    <n v="55.45"/>
    <n v="4.7619047620000003"/>
    <n v="2.7725"/>
    <n v="4.9000000000000004"/>
  </r>
  <r>
    <s v="584-66-4073"/>
    <x v="0"/>
    <x v="1"/>
    <x v="1"/>
    <x v="0"/>
    <x v="1"/>
    <n v="56.5"/>
    <n v="1"/>
    <n v="2.8250000000000002"/>
    <x v="89"/>
    <x v="57"/>
    <x v="83"/>
    <x v="0"/>
    <n v="56.5"/>
    <n v="4.7619047620000003"/>
    <n v="2.8250000000000002"/>
    <n v="9.6"/>
  </r>
  <r>
    <s v="351-62-0822"/>
    <x v="2"/>
    <x v="1"/>
    <x v="1"/>
    <x v="1"/>
    <x v="1"/>
    <n v="14.48"/>
    <n v="4"/>
    <n v="2.8959999999999999"/>
    <x v="90"/>
    <x v="51"/>
    <x v="84"/>
    <x v="0"/>
    <n v="57.92"/>
    <n v="4.7619047620000003"/>
    <n v="2.8959999999999999"/>
    <n v="4.5"/>
  </r>
  <r>
    <s v="267-73-4706"/>
    <x v="2"/>
    <x v="1"/>
    <x v="1"/>
    <x v="1"/>
    <x v="2"/>
    <n v="14.48"/>
    <n v="4"/>
    <n v="2.8959999999999999"/>
    <x v="90"/>
    <x v="51"/>
    <x v="84"/>
    <x v="0"/>
    <n v="57.92"/>
    <n v="4.7619047620000003"/>
    <n v="2.8959999999999999"/>
    <n v="4.5"/>
  </r>
  <r>
    <s v="389-25-3394"/>
    <x v="0"/>
    <x v="0"/>
    <x v="1"/>
    <x v="0"/>
    <x v="5"/>
    <n v="11.81"/>
    <n v="5"/>
    <n v="2.9525000000000001"/>
    <x v="91"/>
    <x v="58"/>
    <x v="24"/>
    <x v="0"/>
    <n v="59.05"/>
    <n v="4.7619047620000003"/>
    <n v="2.9525000000000001"/>
    <n v="9.4"/>
  </r>
  <r>
    <s v="759-63-8049"/>
    <x v="0"/>
    <x v="0"/>
    <x v="1"/>
    <x v="0"/>
    <x v="5"/>
    <n v="11.81"/>
    <n v="5"/>
    <n v="2.9525000000000001"/>
    <x v="91"/>
    <x v="58"/>
    <x v="24"/>
    <x v="0"/>
    <n v="59.05"/>
    <n v="4.7619047620000003"/>
    <n v="2.9525000000000001"/>
    <n v="9.4"/>
  </r>
  <r>
    <s v="930-26-2192"/>
    <x v="0"/>
    <x v="0"/>
    <x v="1"/>
    <x v="0"/>
    <x v="5"/>
    <n v="11.81"/>
    <n v="5"/>
    <n v="2.9525000000000001"/>
    <x v="91"/>
    <x v="58"/>
    <x v="24"/>
    <x v="0"/>
    <n v="59.05"/>
    <n v="4.7619047620000003"/>
    <n v="2.9525000000000001"/>
    <n v="9.4"/>
  </r>
  <r>
    <s v="273-84-2164"/>
    <x v="0"/>
    <x v="0"/>
    <x v="0"/>
    <x v="0"/>
    <x v="5"/>
    <n v="12.05"/>
    <n v="5"/>
    <n v="3.0125000000000002"/>
    <x v="92"/>
    <x v="59"/>
    <x v="85"/>
    <x v="0"/>
    <n v="60.25"/>
    <n v="4.7619047620000003"/>
    <n v="3.0125000000000002"/>
    <n v="5.5"/>
  </r>
  <r>
    <s v="744-60-2668"/>
    <x v="0"/>
    <x v="0"/>
    <x v="0"/>
    <x v="0"/>
    <x v="5"/>
    <n v="12.05"/>
    <n v="5"/>
    <n v="3.0125000000000002"/>
    <x v="92"/>
    <x v="59"/>
    <x v="85"/>
    <x v="1"/>
    <n v="60.25"/>
    <n v="4.7619047620000003"/>
    <n v="3.0125000000000002"/>
    <n v="5.5"/>
  </r>
  <r>
    <s v="746-45-9162"/>
    <x v="1"/>
    <x v="1"/>
    <x v="0"/>
    <x v="0"/>
    <x v="2"/>
    <n v="12.05"/>
    <n v="5"/>
    <n v="3.0125000000000002"/>
    <x v="92"/>
    <x v="59"/>
    <x v="85"/>
    <x v="1"/>
    <n v="60.25"/>
    <n v="4.7619047620000003"/>
    <n v="3.0125000000000002"/>
    <n v="5.5"/>
  </r>
  <r>
    <s v="291-59-1384"/>
    <x v="2"/>
    <x v="1"/>
    <x v="1"/>
    <x v="0"/>
    <x v="5"/>
    <n v="60.3"/>
    <n v="1"/>
    <n v="3.0150000000000001"/>
    <x v="93"/>
    <x v="60"/>
    <x v="86"/>
    <x v="0"/>
    <n v="60.3"/>
    <n v="4.7619047620000003"/>
    <n v="3.0150000000000001"/>
    <n v="6"/>
  </r>
  <r>
    <s v="721-54-9127"/>
    <x v="2"/>
    <x v="1"/>
    <x v="1"/>
    <x v="0"/>
    <x v="5"/>
    <n v="60.3"/>
    <n v="1"/>
    <n v="3.0150000000000001"/>
    <x v="93"/>
    <x v="60"/>
    <x v="86"/>
    <x v="0"/>
    <n v="60.3"/>
    <n v="4.7619047620000003"/>
    <n v="3.0150000000000001"/>
    <n v="6"/>
  </r>
  <r>
    <s v="775-70-1347"/>
    <x v="1"/>
    <x v="1"/>
    <x v="1"/>
    <x v="0"/>
    <x v="5"/>
    <n v="60.3"/>
    <n v="1"/>
    <n v="3.0150000000000001"/>
    <x v="93"/>
    <x v="60"/>
    <x v="86"/>
    <x v="0"/>
    <n v="60.3"/>
    <n v="4.7619047620000003"/>
    <n v="3.0150000000000001"/>
    <n v="6"/>
  </r>
  <r>
    <s v="443-60-9639"/>
    <x v="0"/>
    <x v="1"/>
    <x v="0"/>
    <x v="1"/>
    <x v="3"/>
    <n v="60.87"/>
    <n v="1"/>
    <n v="3.0434999999999999"/>
    <x v="94"/>
    <x v="61"/>
    <x v="87"/>
    <x v="0"/>
    <n v="60.87"/>
    <n v="4.7619047620000003"/>
    <n v="3.0434999999999999"/>
    <n v="5.5"/>
  </r>
  <r>
    <s v="895-77-9289"/>
    <x v="0"/>
    <x v="1"/>
    <x v="1"/>
    <x v="1"/>
    <x v="3"/>
    <n v="60.87"/>
    <n v="1"/>
    <n v="3.0434999999999999"/>
    <x v="94"/>
    <x v="61"/>
    <x v="87"/>
    <x v="0"/>
    <n v="60.87"/>
    <n v="4.7619047620000003"/>
    <n v="3.0434999999999999"/>
    <n v="5.5"/>
  </r>
  <r>
    <s v="652-49-6720"/>
    <x v="0"/>
    <x v="1"/>
    <x v="0"/>
    <x v="1"/>
    <x v="5"/>
    <n v="60.95"/>
    <n v="1"/>
    <n v="3.0474999999999999"/>
    <x v="95"/>
    <x v="24"/>
    <x v="88"/>
    <x v="1"/>
    <n v="60.95"/>
    <n v="4.7619047620000003"/>
    <n v="3.0474999999999999"/>
    <n v="5.9"/>
  </r>
  <r>
    <s v="952-15-3856"/>
    <x v="0"/>
    <x v="1"/>
    <x v="0"/>
    <x v="0"/>
    <x v="2"/>
    <n v="60.95"/>
    <n v="1"/>
    <n v="3.0474999999999999"/>
    <x v="95"/>
    <x v="24"/>
    <x v="88"/>
    <x v="1"/>
    <n v="60.95"/>
    <n v="4.7619047620000003"/>
    <n v="3.0474999999999999"/>
    <n v="5.9"/>
  </r>
  <r>
    <s v="720-26-8785"/>
    <x v="0"/>
    <x v="0"/>
    <x v="0"/>
    <x v="1"/>
    <x v="5"/>
    <n v="60.95"/>
    <n v="1"/>
    <n v="3.0474999999999999"/>
    <x v="95"/>
    <x v="24"/>
    <x v="88"/>
    <x v="1"/>
    <n v="60.95"/>
    <n v="4.7619047620000003"/>
    <n v="3.0474999999999999"/>
    <n v="2.8"/>
  </r>
  <r>
    <s v="278-97-7759"/>
    <x v="1"/>
    <x v="1"/>
    <x v="1"/>
    <x v="1"/>
    <x v="5"/>
    <n v="62.48"/>
    <n v="1"/>
    <n v="3.1240000000000001"/>
    <x v="96"/>
    <x v="24"/>
    <x v="89"/>
    <x v="0"/>
    <n v="62.48"/>
    <n v="4.7619047620000003"/>
    <n v="3.1240000000000001"/>
    <n v="4.7"/>
  </r>
  <r>
    <s v="298-62-3199"/>
    <x v="1"/>
    <x v="2"/>
    <x v="0"/>
    <x v="0"/>
    <x v="5"/>
    <n v="62.48"/>
    <n v="1"/>
    <n v="3.1240000000000001"/>
    <x v="96"/>
    <x v="24"/>
    <x v="89"/>
    <x v="0"/>
    <n v="62.48"/>
    <n v="4.7619047620000003"/>
    <n v="3.1240000000000001"/>
    <n v="4.7"/>
  </r>
  <r>
    <s v="145-52-7028"/>
    <x v="1"/>
    <x v="1"/>
    <x v="1"/>
    <x v="1"/>
    <x v="2"/>
    <n v="62.48"/>
    <n v="1"/>
    <n v="3.1240000000000001"/>
    <x v="96"/>
    <x v="24"/>
    <x v="89"/>
    <x v="1"/>
    <n v="62.48"/>
    <n v="4.7619047620000003"/>
    <n v="3.1240000000000001"/>
    <n v="4.7"/>
  </r>
  <r>
    <s v="525-22-7564"/>
    <x v="1"/>
    <x v="2"/>
    <x v="0"/>
    <x v="0"/>
    <x v="5"/>
    <n v="62.48"/>
    <n v="1"/>
    <n v="3.1240000000000001"/>
    <x v="96"/>
    <x v="24"/>
    <x v="89"/>
    <x v="0"/>
    <n v="62.48"/>
    <n v="4.7619047620000003"/>
    <n v="3.1240000000000001"/>
    <n v="4.7"/>
  </r>
  <r>
    <s v="357-40-5249"/>
    <x v="2"/>
    <x v="1"/>
    <x v="0"/>
    <x v="1"/>
    <x v="2"/>
    <n v="20.87"/>
    <n v="3"/>
    <n v="3.1305000000000001"/>
    <x v="97"/>
    <x v="34"/>
    <x v="90"/>
    <x v="0"/>
    <n v="62.61"/>
    <n v="4.7619047620000003"/>
    <n v="3.1305000000000001"/>
    <n v="8"/>
  </r>
  <r>
    <s v="650-98-6268"/>
    <x v="0"/>
    <x v="1"/>
    <x v="0"/>
    <x v="1"/>
    <x v="2"/>
    <n v="20.87"/>
    <n v="3"/>
    <n v="3.1305000000000001"/>
    <x v="97"/>
    <x v="34"/>
    <x v="90"/>
    <x v="2"/>
    <n v="62.61"/>
    <n v="4.7619047620000003"/>
    <n v="3.1305000000000001"/>
    <n v="8"/>
  </r>
  <r>
    <s v="821-17-6754"/>
    <x v="0"/>
    <x v="1"/>
    <x v="0"/>
    <x v="1"/>
    <x v="2"/>
    <n v="20.87"/>
    <n v="3"/>
    <n v="3.1305000000000001"/>
    <x v="97"/>
    <x v="34"/>
    <x v="90"/>
    <x v="0"/>
    <n v="62.61"/>
    <n v="4.7619047620000003"/>
    <n v="3.1305000000000001"/>
    <n v="8"/>
  </r>
  <r>
    <s v="642-96-2875"/>
    <x v="0"/>
    <x v="0"/>
    <x v="0"/>
    <x v="1"/>
    <x v="2"/>
    <n v="20.87"/>
    <n v="3"/>
    <n v="3.1305000000000001"/>
    <x v="97"/>
    <x v="34"/>
    <x v="90"/>
    <x v="2"/>
    <n v="62.61"/>
    <n v="4.7619047620000003"/>
    <n v="3.1305000000000001"/>
    <n v="2.9"/>
  </r>
  <r>
    <s v="428-83-5800"/>
    <x v="0"/>
    <x v="1"/>
    <x v="1"/>
    <x v="1"/>
    <x v="2"/>
    <n v="21.08"/>
    <n v="3"/>
    <n v="3.1619999999999999"/>
    <x v="98"/>
    <x v="14"/>
    <x v="91"/>
    <x v="0"/>
    <n v="63.24"/>
    <n v="4.7619047620000003"/>
    <n v="3.1619999999999999"/>
    <n v="7.3"/>
  </r>
  <r>
    <s v="987-69-2007"/>
    <x v="1"/>
    <x v="1"/>
    <x v="0"/>
    <x v="1"/>
    <x v="2"/>
    <n v="21.08"/>
    <n v="3"/>
    <n v="3.1619999999999999"/>
    <x v="98"/>
    <x v="14"/>
    <x v="91"/>
    <x v="0"/>
    <n v="63.24"/>
    <n v="4.7619047620000003"/>
    <n v="3.1619999999999999"/>
    <n v="7.3"/>
  </r>
  <r>
    <s v="637-70-2392"/>
    <x v="0"/>
    <x v="1"/>
    <x v="1"/>
    <x v="0"/>
    <x v="2"/>
    <n v="21.08"/>
    <n v="3"/>
    <n v="3.1619999999999999"/>
    <x v="98"/>
    <x v="14"/>
    <x v="91"/>
    <x v="0"/>
    <n v="63.24"/>
    <n v="4.7619047620000003"/>
    <n v="3.1619999999999999"/>
    <n v="7.3"/>
  </r>
  <r>
    <s v="275-28-0149"/>
    <x v="1"/>
    <x v="2"/>
    <x v="1"/>
    <x v="0"/>
    <x v="0"/>
    <n v="63.69"/>
    <n v="1"/>
    <n v="3.1844999999999999"/>
    <x v="99"/>
    <x v="42"/>
    <x v="92"/>
    <x v="0"/>
    <n v="63.69"/>
    <n v="4.7619047620000003"/>
    <n v="3.1844999999999999"/>
    <n v="6"/>
  </r>
  <r>
    <s v="662-88-1371"/>
    <x v="1"/>
    <x v="2"/>
    <x v="1"/>
    <x v="0"/>
    <x v="2"/>
    <n v="63.69"/>
    <n v="1"/>
    <n v="3.1844999999999999"/>
    <x v="99"/>
    <x v="42"/>
    <x v="92"/>
    <x v="1"/>
    <n v="63.69"/>
    <n v="4.7619047620000003"/>
    <n v="3.1844999999999999"/>
    <n v="6"/>
  </r>
  <r>
    <s v="338-76-5290"/>
    <x v="0"/>
    <x v="0"/>
    <x v="1"/>
    <x v="0"/>
    <x v="1"/>
    <n v="64.989999999999995"/>
    <n v="1"/>
    <n v="3.2494999999999998"/>
    <x v="100"/>
    <x v="1"/>
    <x v="93"/>
    <x v="0"/>
    <n v="64.989999999999995"/>
    <n v="4.7619047620000003"/>
    <n v="3.2494999999999998"/>
    <n v="4.5"/>
  </r>
  <r>
    <s v="881-41-7302"/>
    <x v="0"/>
    <x v="1"/>
    <x v="1"/>
    <x v="1"/>
    <x v="2"/>
    <n v="64.989999999999995"/>
    <n v="1"/>
    <n v="3.2494999999999998"/>
    <x v="100"/>
    <x v="1"/>
    <x v="93"/>
    <x v="0"/>
    <n v="64.989999999999995"/>
    <n v="4.7619047620000003"/>
    <n v="3.2494999999999998"/>
    <n v="4.5"/>
  </r>
  <r>
    <s v="811-68-7149"/>
    <x v="0"/>
    <x v="0"/>
    <x v="1"/>
    <x v="0"/>
    <x v="2"/>
    <n v="64.989999999999995"/>
    <n v="1"/>
    <n v="3.2494999999999998"/>
    <x v="100"/>
    <x v="1"/>
    <x v="93"/>
    <x v="0"/>
    <n v="64.989999999999995"/>
    <n v="4.7619047620000003"/>
    <n v="3.2494999999999998"/>
    <n v="4.5"/>
  </r>
  <r>
    <s v="305-89-2768"/>
    <x v="2"/>
    <x v="1"/>
    <x v="0"/>
    <x v="1"/>
    <x v="3"/>
    <n v="21.9"/>
    <n v="3"/>
    <n v="3.2850000000000001"/>
    <x v="101"/>
    <x v="62"/>
    <x v="94"/>
    <x v="0"/>
    <n v="65.7"/>
    <n v="4.7619047620000003"/>
    <n v="3.2850000000000001"/>
    <n v="4.7"/>
  </r>
  <r>
    <s v="530-80-4891"/>
    <x v="1"/>
    <x v="1"/>
    <x v="0"/>
    <x v="1"/>
    <x v="3"/>
    <n v="21.9"/>
    <n v="3"/>
    <n v="3.2850000000000001"/>
    <x v="101"/>
    <x v="62"/>
    <x v="94"/>
    <x v="0"/>
    <n v="65.7"/>
    <n v="4.7619047620000003"/>
    <n v="3.2850000000000001"/>
    <n v="4.7"/>
  </r>
  <r>
    <s v="821-07-3596"/>
    <x v="0"/>
    <x v="1"/>
    <x v="1"/>
    <x v="0"/>
    <x v="1"/>
    <n v="16.45"/>
    <n v="4"/>
    <n v="3.29"/>
    <x v="102"/>
    <x v="33"/>
    <x v="95"/>
    <x v="1"/>
    <n v="65.8"/>
    <n v="4.7619047620000003"/>
    <n v="3.29"/>
    <n v="5.6"/>
  </r>
  <r>
    <s v="347-56-2442"/>
    <x v="1"/>
    <x v="1"/>
    <x v="1"/>
    <x v="0"/>
    <x v="3"/>
    <n v="65.819999999999993"/>
    <n v="1"/>
    <n v="3.2909999999999999"/>
    <x v="103"/>
    <x v="21"/>
    <x v="96"/>
    <x v="0"/>
    <n v="65.819999999999993"/>
    <n v="4.7619047620000003"/>
    <n v="3.2909999999999999"/>
    <n v="4.0999999999999996"/>
  </r>
  <r>
    <s v="101-70-8996"/>
    <x v="1"/>
    <x v="1"/>
    <x v="1"/>
    <x v="0"/>
    <x v="2"/>
    <n v="65.819999999999993"/>
    <n v="1"/>
    <n v="3.2909999999999999"/>
    <x v="103"/>
    <x v="21"/>
    <x v="96"/>
    <x v="0"/>
    <n v="65.819999999999993"/>
    <n v="4.7619047620000003"/>
    <n v="3.2909999999999999"/>
    <n v="4.0999999999999996"/>
  </r>
  <r>
    <s v="211-18-3665"/>
    <x v="2"/>
    <x v="1"/>
    <x v="0"/>
    <x v="0"/>
    <x v="5"/>
    <n v="13.22"/>
    <n v="5"/>
    <n v="3.3050000000000002"/>
    <x v="104"/>
    <x v="23"/>
    <x v="67"/>
    <x v="0"/>
    <n v="66.099999999999994"/>
    <n v="4.7619047620000003"/>
    <n v="3.3050000000000002"/>
    <n v="4.3"/>
  </r>
  <r>
    <s v="346-84-3103"/>
    <x v="2"/>
    <x v="1"/>
    <x v="0"/>
    <x v="0"/>
    <x v="5"/>
    <n v="13.22"/>
    <n v="5"/>
    <n v="3.3050000000000002"/>
    <x v="104"/>
    <x v="23"/>
    <x v="67"/>
    <x v="0"/>
    <n v="66.099999999999994"/>
    <n v="4.7619047620000003"/>
    <n v="3.3050000000000002"/>
    <n v="4.3"/>
  </r>
  <r>
    <s v="899-38-9656"/>
    <x v="2"/>
    <x v="1"/>
    <x v="0"/>
    <x v="0"/>
    <x v="2"/>
    <n v="13.22"/>
    <n v="5"/>
    <n v="3.3050000000000002"/>
    <x v="104"/>
    <x v="23"/>
    <x v="67"/>
    <x v="0"/>
    <n v="66.099999999999994"/>
    <n v="4.7619047620000003"/>
    <n v="3.3050000000000002"/>
    <n v="4.3"/>
  </r>
  <r>
    <s v="366-93-0948"/>
    <x v="1"/>
    <x v="1"/>
    <x v="0"/>
    <x v="0"/>
    <x v="5"/>
    <n v="66.349999999999994"/>
    <n v="1"/>
    <n v="3.3174999999999999"/>
    <x v="105"/>
    <x v="63"/>
    <x v="97"/>
    <x v="0"/>
    <n v="66.349999999999994"/>
    <n v="4.7619047620000003"/>
    <n v="3.3174999999999999"/>
    <n v="9.6999999999999993"/>
  </r>
  <r>
    <s v="485-77-1107"/>
    <x v="1"/>
    <x v="2"/>
    <x v="0"/>
    <x v="0"/>
    <x v="5"/>
    <n v="66.349999999999994"/>
    <n v="1"/>
    <n v="3.3174999999999999"/>
    <x v="105"/>
    <x v="63"/>
    <x v="97"/>
    <x v="2"/>
    <n v="66.349999999999994"/>
    <n v="4.7619047620000003"/>
    <n v="3.3174999999999999"/>
    <n v="9.6999999999999993"/>
  </r>
  <r>
    <s v="143-40-9079"/>
    <x v="0"/>
    <x v="1"/>
    <x v="0"/>
    <x v="0"/>
    <x v="2"/>
    <n v="66.349999999999994"/>
    <n v="1"/>
    <n v="3.3174999999999999"/>
    <x v="105"/>
    <x v="63"/>
    <x v="97"/>
    <x v="0"/>
    <n v="66.349999999999994"/>
    <n v="4.7619047620000003"/>
    <n v="3.3174999999999999"/>
    <n v="9.6999999999999993"/>
  </r>
  <r>
    <s v="273-16-6619"/>
    <x v="2"/>
    <x v="1"/>
    <x v="1"/>
    <x v="0"/>
    <x v="3"/>
    <n v="33.200000000000003"/>
    <n v="2"/>
    <n v="3.32"/>
    <x v="106"/>
    <x v="54"/>
    <x v="32"/>
    <x v="2"/>
    <n v="66.400000000000006"/>
    <n v="4.7619047620000003"/>
    <n v="3.32"/>
    <n v="4.4000000000000004"/>
  </r>
  <r>
    <s v="541-98-7184"/>
    <x v="1"/>
    <x v="1"/>
    <x v="1"/>
    <x v="0"/>
    <x v="2"/>
    <n v="33.200000000000003"/>
    <n v="2"/>
    <n v="3.32"/>
    <x v="106"/>
    <x v="54"/>
    <x v="32"/>
    <x v="1"/>
    <n v="66.400000000000006"/>
    <n v="4.7619047620000003"/>
    <n v="3.32"/>
    <n v="4.4000000000000004"/>
  </r>
  <r>
    <s v="347-96-2014"/>
    <x v="2"/>
    <x v="1"/>
    <x v="1"/>
    <x v="0"/>
    <x v="2"/>
    <n v="33.33"/>
    <n v="2"/>
    <n v="3.3330000000000002"/>
    <x v="107"/>
    <x v="1"/>
    <x v="98"/>
    <x v="0"/>
    <n v="66.66"/>
    <n v="4.7619047620000003"/>
    <n v="3.3330000000000002"/>
    <n v="6.4"/>
  </r>
  <r>
    <s v="794-42-3736"/>
    <x v="2"/>
    <x v="1"/>
    <x v="1"/>
    <x v="0"/>
    <x v="2"/>
    <n v="33.33"/>
    <n v="2"/>
    <n v="3.3330000000000002"/>
    <x v="107"/>
    <x v="1"/>
    <x v="98"/>
    <x v="0"/>
    <n v="66.66"/>
    <n v="4.7619047620000003"/>
    <n v="3.3330000000000002"/>
    <n v="6.4"/>
  </r>
  <r>
    <s v="806-64-9936"/>
    <x v="2"/>
    <x v="1"/>
    <x v="1"/>
    <x v="0"/>
    <x v="2"/>
    <n v="33.33"/>
    <n v="2"/>
    <n v="3.3330000000000002"/>
    <x v="107"/>
    <x v="1"/>
    <x v="98"/>
    <x v="0"/>
    <n v="66.66"/>
    <n v="4.7619047620000003"/>
    <n v="3.3330000000000002"/>
    <n v="6.4"/>
  </r>
  <r>
    <s v="838-78-4295"/>
    <x v="0"/>
    <x v="0"/>
    <x v="1"/>
    <x v="0"/>
    <x v="4"/>
    <n v="33.47"/>
    <n v="2"/>
    <n v="3.347"/>
    <x v="108"/>
    <x v="64"/>
    <x v="99"/>
    <x v="1"/>
    <n v="66.94"/>
    <n v="4.7619047620000003"/>
    <n v="3.347"/>
    <n v="6.7"/>
  </r>
  <r>
    <s v="149-73-5830"/>
    <x v="2"/>
    <x v="1"/>
    <x v="1"/>
    <x v="0"/>
    <x v="2"/>
    <n v="67.77"/>
    <n v="1"/>
    <n v="3.3885000000000001"/>
    <x v="109"/>
    <x v="4"/>
    <x v="100"/>
    <x v="2"/>
    <n v="67.77"/>
    <n v="4.7619047620000003"/>
    <n v="3.3885000000000001"/>
    <n v="6.5"/>
  </r>
  <r>
    <s v="151-33-7434"/>
    <x v="2"/>
    <x v="1"/>
    <x v="1"/>
    <x v="1"/>
    <x v="2"/>
    <n v="67.77"/>
    <n v="1"/>
    <n v="3.3885000000000001"/>
    <x v="109"/>
    <x v="4"/>
    <x v="100"/>
    <x v="0"/>
    <n v="67.77"/>
    <n v="4.7619047620000003"/>
    <n v="3.3885000000000001"/>
    <n v="6.5"/>
  </r>
  <r>
    <s v="232-16-2483"/>
    <x v="0"/>
    <x v="0"/>
    <x v="0"/>
    <x v="0"/>
    <x v="0"/>
    <n v="68.12"/>
    <n v="1"/>
    <n v="3.4060000000000001"/>
    <x v="110"/>
    <x v="65"/>
    <x v="101"/>
    <x v="1"/>
    <n v="68.12"/>
    <n v="4.7619047620000003"/>
    <n v="3.4060000000000001"/>
    <n v="6.8"/>
  </r>
  <r>
    <s v="109-25-9004"/>
    <x v="0"/>
    <x v="0"/>
    <x v="0"/>
    <x v="0"/>
    <x v="2"/>
    <n v="17.04"/>
    <n v="4"/>
    <n v="3.4079999999999999"/>
    <x v="111"/>
    <x v="66"/>
    <x v="102"/>
    <x v="1"/>
    <n v="68.16"/>
    <n v="4.7619047620000003"/>
    <n v="3.4079999999999999"/>
    <n v="7"/>
  </r>
  <r>
    <s v="549-96-4200"/>
    <x v="0"/>
    <x v="0"/>
    <x v="0"/>
    <x v="0"/>
    <x v="2"/>
    <n v="17.04"/>
    <n v="4"/>
    <n v="3.4079999999999999"/>
    <x v="111"/>
    <x v="66"/>
    <x v="102"/>
    <x v="1"/>
    <n v="68.16"/>
    <n v="4.7619047620000003"/>
    <n v="3.4079999999999999"/>
    <n v="7"/>
  </r>
  <r>
    <s v="886-54-6089"/>
    <x v="1"/>
    <x v="1"/>
    <x v="1"/>
    <x v="1"/>
    <x v="2"/>
    <n v="11.43"/>
    <n v="6"/>
    <n v="3.4289999999999998"/>
    <x v="112"/>
    <x v="67"/>
    <x v="103"/>
    <x v="0"/>
    <n v="68.58"/>
    <n v="4.7619047620000003"/>
    <n v="3.4289999999999998"/>
    <n v="7.7"/>
  </r>
  <r>
    <s v="365-29-3863"/>
    <x v="1"/>
    <x v="2"/>
    <x v="1"/>
    <x v="0"/>
    <x v="2"/>
    <n v="13.79"/>
    <n v="5"/>
    <n v="3.4474999999999998"/>
    <x v="113"/>
    <x v="68"/>
    <x v="104"/>
    <x v="0"/>
    <n v="68.95"/>
    <n v="4.7619047620000003"/>
    <n v="3.4474999999999998"/>
    <n v="7.8"/>
  </r>
  <r>
    <s v="732-67-5346"/>
    <x v="0"/>
    <x v="2"/>
    <x v="1"/>
    <x v="0"/>
    <x v="2"/>
    <n v="13.79"/>
    <n v="5"/>
    <n v="3.4474999999999998"/>
    <x v="113"/>
    <x v="68"/>
    <x v="104"/>
    <x v="2"/>
    <n v="68.95"/>
    <n v="4.7619047620000003"/>
    <n v="3.4474999999999998"/>
    <n v="7.8"/>
  </r>
  <r>
    <s v="119-89-9124"/>
    <x v="0"/>
    <x v="2"/>
    <x v="1"/>
    <x v="0"/>
    <x v="2"/>
    <n v="13.79"/>
    <n v="5"/>
    <n v="3.4474999999999998"/>
    <x v="113"/>
    <x v="68"/>
    <x v="104"/>
    <x v="0"/>
    <n v="68.95"/>
    <n v="4.7619047620000003"/>
    <n v="3.4474999999999998"/>
    <n v="7.8"/>
  </r>
  <r>
    <s v="162-65-8559"/>
    <x v="0"/>
    <x v="0"/>
    <x v="0"/>
    <x v="0"/>
    <x v="2"/>
    <n v="68.98"/>
    <n v="1"/>
    <n v="3.4489999999999998"/>
    <x v="114"/>
    <x v="69"/>
    <x v="77"/>
    <x v="0"/>
    <n v="68.98"/>
    <n v="4.7619047620000003"/>
    <n v="3.4489999999999998"/>
    <n v="4.8"/>
  </r>
  <r>
    <s v="739-71-2063"/>
    <x v="0"/>
    <x v="0"/>
    <x v="0"/>
    <x v="0"/>
    <x v="2"/>
    <n v="68.98"/>
    <n v="1"/>
    <n v="3.4489999999999998"/>
    <x v="114"/>
    <x v="69"/>
    <x v="77"/>
    <x v="0"/>
    <n v="68.98"/>
    <n v="4.7619047620000003"/>
    <n v="3.4489999999999998"/>
    <n v="4.8"/>
  </r>
  <r>
    <s v="221-71-8783"/>
    <x v="2"/>
    <x v="1"/>
    <x v="1"/>
    <x v="0"/>
    <x v="1"/>
    <n v="34.700000000000003"/>
    <n v="2"/>
    <n v="3.47"/>
    <x v="115"/>
    <x v="57"/>
    <x v="105"/>
    <x v="0"/>
    <n v="69.400000000000006"/>
    <n v="4.7619047620000003"/>
    <n v="3.47"/>
    <n v="8.1999999999999993"/>
  </r>
  <r>
    <s v="686-41-0932"/>
    <x v="0"/>
    <x v="1"/>
    <x v="1"/>
    <x v="1"/>
    <x v="1"/>
    <n v="34.700000000000003"/>
    <n v="2"/>
    <n v="3.47"/>
    <x v="115"/>
    <x v="57"/>
    <x v="105"/>
    <x v="0"/>
    <n v="69.400000000000006"/>
    <n v="4.7619047620000003"/>
    <n v="3.47"/>
    <n v="8.1999999999999993"/>
  </r>
  <r>
    <s v="973-20-6325"/>
    <x v="0"/>
    <x v="1"/>
    <x v="1"/>
    <x v="1"/>
    <x v="1"/>
    <n v="34.700000000000003"/>
    <n v="2"/>
    <n v="3.47"/>
    <x v="115"/>
    <x v="57"/>
    <x v="105"/>
    <x v="0"/>
    <n v="69.400000000000006"/>
    <n v="4.7619047620000003"/>
    <n v="3.47"/>
    <n v="3"/>
  </r>
  <r>
    <s v="220-28-1851"/>
    <x v="0"/>
    <x v="2"/>
    <x v="1"/>
    <x v="0"/>
    <x v="3"/>
    <n v="34.729999999999997"/>
    <n v="2"/>
    <n v="3.4729999999999999"/>
    <x v="116"/>
    <x v="47"/>
    <x v="106"/>
    <x v="0"/>
    <n v="69.459999999999994"/>
    <n v="4.7619047620000003"/>
    <n v="3.4729999999999999"/>
    <n v="9.6999999999999993"/>
  </r>
  <r>
    <s v="333-23-2632"/>
    <x v="1"/>
    <x v="2"/>
    <x v="0"/>
    <x v="0"/>
    <x v="4"/>
    <n v="10.08"/>
    <n v="7"/>
    <n v="3.528"/>
    <x v="117"/>
    <x v="70"/>
    <x v="107"/>
    <x v="0"/>
    <n v="70.56"/>
    <n v="4.7619047620000003"/>
    <n v="3.528"/>
    <n v="4.2"/>
  </r>
  <r>
    <s v="579-44-0904"/>
    <x v="1"/>
    <x v="2"/>
    <x v="0"/>
    <x v="0"/>
    <x v="4"/>
    <n v="10.08"/>
    <n v="7"/>
    <n v="3.528"/>
    <x v="117"/>
    <x v="70"/>
    <x v="107"/>
    <x v="0"/>
    <n v="70.56"/>
    <n v="4.7619047620000003"/>
    <n v="3.528"/>
    <n v="4.2"/>
  </r>
  <r>
    <s v="239-48-4278"/>
    <x v="0"/>
    <x v="2"/>
    <x v="0"/>
    <x v="0"/>
    <x v="2"/>
    <n v="10.130000000000001"/>
    <n v="7"/>
    <n v="3.5455000000000001"/>
    <x v="118"/>
    <x v="20"/>
    <x v="108"/>
    <x v="1"/>
    <n v="70.91"/>
    <n v="4.7619047620000003"/>
    <n v="3.5455000000000001"/>
    <n v="8.3000000000000007"/>
  </r>
  <r>
    <s v="452-56-7345"/>
    <x v="1"/>
    <x v="2"/>
    <x v="0"/>
    <x v="0"/>
    <x v="2"/>
    <n v="10.130000000000001"/>
    <n v="7"/>
    <n v="3.5455000000000001"/>
    <x v="118"/>
    <x v="20"/>
    <x v="108"/>
    <x v="1"/>
    <n v="70.91"/>
    <n v="4.7619047620000003"/>
    <n v="3.5455000000000001"/>
    <n v="8.3000000000000007"/>
  </r>
  <r>
    <s v="647-49-2733"/>
    <x v="1"/>
    <x v="2"/>
    <x v="0"/>
    <x v="1"/>
    <x v="2"/>
    <n v="14.23"/>
    <n v="5"/>
    <n v="3.5575000000000001"/>
    <x v="119"/>
    <x v="71"/>
    <x v="109"/>
    <x v="2"/>
    <n v="71.150000000000006"/>
    <n v="4.7619047620000003"/>
    <n v="3.5575000000000001"/>
    <n v="4.4000000000000004"/>
  </r>
  <r>
    <s v="870-76-1733"/>
    <x v="1"/>
    <x v="1"/>
    <x v="1"/>
    <x v="1"/>
    <x v="2"/>
    <n v="14.23"/>
    <n v="5"/>
    <n v="3.5575000000000001"/>
    <x v="119"/>
    <x v="71"/>
    <x v="109"/>
    <x v="2"/>
    <n v="71.150000000000006"/>
    <n v="4.7619047620000003"/>
    <n v="3.5575000000000001"/>
    <n v="4.4000000000000004"/>
  </r>
  <r>
    <s v="784-49-8653"/>
    <x v="1"/>
    <x v="0"/>
    <x v="0"/>
    <x v="1"/>
    <x v="2"/>
    <n v="14.23"/>
    <n v="5"/>
    <n v="3.5575000000000001"/>
    <x v="119"/>
    <x v="71"/>
    <x v="109"/>
    <x v="2"/>
    <n v="71.150000000000006"/>
    <n v="4.7619047620000003"/>
    <n v="3.5575000000000001"/>
    <n v="3.1"/>
  </r>
  <r>
    <s v="282-32-7199"/>
    <x v="2"/>
    <x v="1"/>
    <x v="1"/>
    <x v="1"/>
    <x v="2"/>
    <n v="71.2"/>
    <n v="1"/>
    <n v="3.56"/>
    <x v="120"/>
    <x v="32"/>
    <x v="110"/>
    <x v="0"/>
    <n v="71.2"/>
    <n v="4.7619047620000003"/>
    <n v="3.56"/>
    <n v="9.1999999999999993"/>
  </r>
  <r>
    <s v="841-18-8232"/>
    <x v="0"/>
    <x v="1"/>
    <x v="1"/>
    <x v="1"/>
    <x v="2"/>
    <n v="71.2"/>
    <n v="1"/>
    <n v="3.56"/>
    <x v="120"/>
    <x v="32"/>
    <x v="110"/>
    <x v="2"/>
    <n v="71.2"/>
    <n v="4.7619047620000003"/>
    <n v="3.56"/>
    <n v="9.1999999999999993"/>
  </r>
  <r>
    <s v="492-66-7569"/>
    <x v="1"/>
    <x v="1"/>
    <x v="1"/>
    <x v="1"/>
    <x v="2"/>
    <n v="71.2"/>
    <n v="1"/>
    <n v="3.56"/>
    <x v="120"/>
    <x v="32"/>
    <x v="110"/>
    <x v="1"/>
    <n v="71.2"/>
    <n v="4.7619047620000003"/>
    <n v="3.56"/>
    <n v="9.1999999999999993"/>
  </r>
  <r>
    <s v="616-24-2851"/>
    <x v="2"/>
    <x v="1"/>
    <x v="0"/>
    <x v="0"/>
    <x v="1"/>
    <n v="17.87"/>
    <n v="4"/>
    <n v="3.5739999999999998"/>
    <x v="121"/>
    <x v="10"/>
    <x v="28"/>
    <x v="1"/>
    <n v="71.48"/>
    <n v="4.7619047620000003"/>
    <n v="3.5739999999999998"/>
    <n v="6.5"/>
  </r>
  <r>
    <s v="577-51-7973"/>
    <x v="2"/>
    <x v="1"/>
    <x v="0"/>
    <x v="0"/>
    <x v="1"/>
    <n v="17.87"/>
    <n v="4"/>
    <n v="3.5739999999999998"/>
    <x v="121"/>
    <x v="10"/>
    <x v="28"/>
    <x v="1"/>
    <n v="71.48"/>
    <n v="4.7619047620000003"/>
    <n v="3.5739999999999998"/>
    <n v="3.2"/>
  </r>
  <r>
    <s v="190-14-3147"/>
    <x v="2"/>
    <x v="1"/>
    <x v="1"/>
    <x v="1"/>
    <x v="2"/>
    <n v="17.97"/>
    <n v="4"/>
    <n v="3.5939999999999999"/>
    <x v="122"/>
    <x v="36"/>
    <x v="100"/>
    <x v="1"/>
    <n v="71.88"/>
    <n v="4.7619047620000003"/>
    <n v="3.5939999999999999"/>
    <n v="6.4"/>
  </r>
  <r>
    <s v="118-23-2329"/>
    <x v="1"/>
    <x v="2"/>
    <x v="0"/>
    <x v="0"/>
    <x v="5"/>
    <n v="71.95"/>
    <n v="1"/>
    <n v="3.5975000000000001"/>
    <x v="123"/>
    <x v="4"/>
    <x v="111"/>
    <x v="0"/>
    <n v="71.95"/>
    <n v="4.7619047620000003"/>
    <n v="3.5975000000000001"/>
    <n v="7.3"/>
  </r>
  <r>
    <s v="441-94-7118"/>
    <x v="1"/>
    <x v="1"/>
    <x v="1"/>
    <x v="0"/>
    <x v="5"/>
    <n v="71.95"/>
    <n v="1"/>
    <n v="3.5975000000000001"/>
    <x v="123"/>
    <x v="4"/>
    <x v="111"/>
    <x v="0"/>
    <n v="71.95"/>
    <n v="4.7619047620000003"/>
    <n v="3.5975000000000001"/>
    <n v="7.3"/>
  </r>
  <r>
    <s v="867-16-2676"/>
    <x v="0"/>
    <x v="1"/>
    <x v="1"/>
    <x v="0"/>
    <x v="5"/>
    <n v="71.95"/>
    <n v="1"/>
    <n v="3.5975000000000001"/>
    <x v="123"/>
    <x v="4"/>
    <x v="111"/>
    <x v="0"/>
    <n v="71.95"/>
    <n v="4.7619047620000003"/>
    <n v="3.5975000000000001"/>
    <n v="7.3"/>
  </r>
  <r>
    <s v="279-74-2924"/>
    <x v="2"/>
    <x v="1"/>
    <x v="0"/>
    <x v="0"/>
    <x v="5"/>
    <n v="72.17"/>
    <n v="1"/>
    <n v="3.6084999999999998"/>
    <x v="124"/>
    <x v="72"/>
    <x v="112"/>
    <x v="0"/>
    <n v="72.17"/>
    <n v="4.7619047620000003"/>
    <n v="3.6084999999999998"/>
    <n v="6.1"/>
  </r>
  <r>
    <s v="344-99-5661"/>
    <x v="2"/>
    <x v="1"/>
    <x v="0"/>
    <x v="0"/>
    <x v="5"/>
    <n v="72.17"/>
    <n v="1"/>
    <n v="3.6084999999999998"/>
    <x v="124"/>
    <x v="72"/>
    <x v="112"/>
    <x v="0"/>
    <n v="72.17"/>
    <n v="4.7619047620000003"/>
    <n v="3.6084999999999998"/>
    <n v="6.1"/>
  </r>
  <r>
    <s v="738-28-5071"/>
    <x v="1"/>
    <x v="1"/>
    <x v="0"/>
    <x v="0"/>
    <x v="2"/>
    <n v="72.17"/>
    <n v="1"/>
    <n v="3.6084999999999998"/>
    <x v="124"/>
    <x v="72"/>
    <x v="112"/>
    <x v="1"/>
    <n v="72.17"/>
    <n v="4.7619047620000003"/>
    <n v="3.6084999999999998"/>
    <n v="6.1"/>
  </r>
  <r>
    <s v="776-26-1365"/>
    <x v="2"/>
    <x v="1"/>
    <x v="0"/>
    <x v="0"/>
    <x v="2"/>
    <n v="72.17"/>
    <n v="1"/>
    <n v="3.6084999999999998"/>
    <x v="124"/>
    <x v="72"/>
    <x v="112"/>
    <x v="0"/>
    <n v="72.17"/>
    <n v="4.7619047620000003"/>
    <n v="3.6084999999999998"/>
    <n v="6.1"/>
  </r>
  <r>
    <s v="359-90-3665"/>
    <x v="0"/>
    <x v="1"/>
    <x v="0"/>
    <x v="1"/>
    <x v="1"/>
    <n v="18.079999999999998"/>
    <n v="4"/>
    <n v="3.6160000000000001"/>
    <x v="125"/>
    <x v="9"/>
    <x v="113"/>
    <x v="0"/>
    <n v="72.319999999999993"/>
    <n v="4.7619047620000003"/>
    <n v="3.6160000000000001"/>
    <n v="9.5"/>
  </r>
  <r>
    <s v="722-64-9794"/>
    <x v="2"/>
    <x v="1"/>
    <x v="0"/>
    <x v="0"/>
    <x v="1"/>
    <n v="18.079999999999998"/>
    <n v="4"/>
    <n v="3.6160000000000001"/>
    <x v="125"/>
    <x v="9"/>
    <x v="113"/>
    <x v="0"/>
    <n v="72.319999999999993"/>
    <n v="4.7619047620000003"/>
    <n v="3.6160000000000001"/>
    <n v="9.5"/>
  </r>
  <r>
    <s v="709-99-8098"/>
    <x v="0"/>
    <x v="1"/>
    <x v="0"/>
    <x v="1"/>
    <x v="2"/>
    <n v="18.079999999999998"/>
    <n v="4"/>
    <n v="3.6160000000000001"/>
    <x v="125"/>
    <x v="9"/>
    <x v="113"/>
    <x v="0"/>
    <n v="72.319999999999993"/>
    <n v="4.7619047620000003"/>
    <n v="3.6160000000000001"/>
    <n v="9.5"/>
  </r>
  <r>
    <s v="665-32-9167"/>
    <x v="1"/>
    <x v="2"/>
    <x v="1"/>
    <x v="0"/>
    <x v="2"/>
    <n v="36.26"/>
    <n v="2"/>
    <n v="3.6259999999999999"/>
    <x v="126"/>
    <x v="56"/>
    <x v="114"/>
    <x v="2"/>
    <n v="72.52"/>
    <n v="4.7619047620000003"/>
    <n v="3.6259999999999999"/>
    <n v="7.2"/>
  </r>
  <r>
    <s v="586-32-8685"/>
    <x v="1"/>
    <x v="0"/>
    <x v="1"/>
    <x v="0"/>
    <x v="2"/>
    <n v="36.26"/>
    <n v="2"/>
    <n v="3.6259999999999999"/>
    <x v="126"/>
    <x v="56"/>
    <x v="114"/>
    <x v="2"/>
    <n v="72.52"/>
    <n v="4.7619047620000003"/>
    <n v="3.6259999999999999"/>
    <n v="3.3"/>
  </r>
  <r>
    <s v="106-74-6224"/>
    <x v="1"/>
    <x v="2"/>
    <x v="0"/>
    <x v="1"/>
    <x v="2"/>
    <n v="36.36"/>
    <n v="2"/>
    <n v="3.6360000000000001"/>
    <x v="127"/>
    <x v="69"/>
    <x v="115"/>
    <x v="0"/>
    <n v="72.72"/>
    <n v="4.7619047620000003"/>
    <n v="3.6360000000000001"/>
    <n v="7.1"/>
  </r>
  <r>
    <s v="316-68-6352"/>
    <x v="1"/>
    <x v="1"/>
    <x v="1"/>
    <x v="1"/>
    <x v="2"/>
    <n v="36.36"/>
    <n v="2"/>
    <n v="3.6360000000000001"/>
    <x v="127"/>
    <x v="69"/>
    <x v="115"/>
    <x v="0"/>
    <n v="72.72"/>
    <n v="4.7619047620000003"/>
    <n v="3.6360000000000001"/>
    <n v="7.1"/>
  </r>
  <r>
    <s v="492-75-9428"/>
    <x v="1"/>
    <x v="1"/>
    <x v="1"/>
    <x v="1"/>
    <x v="2"/>
    <n v="36.36"/>
    <n v="2"/>
    <n v="3.6360000000000001"/>
    <x v="127"/>
    <x v="69"/>
    <x v="115"/>
    <x v="0"/>
    <n v="72.72"/>
    <n v="4.7619047620000003"/>
    <n v="3.6360000000000001"/>
    <n v="7.1"/>
  </r>
  <r>
    <s v="327-72-9791"/>
    <x v="0"/>
    <x v="0"/>
    <x v="0"/>
    <x v="0"/>
    <x v="2"/>
    <n v="24.31"/>
    <n v="3"/>
    <n v="3.6465000000000001"/>
    <x v="128"/>
    <x v="3"/>
    <x v="116"/>
    <x v="0"/>
    <n v="72.930000000000007"/>
    <n v="4.7619047620000003"/>
    <n v="3.6465000000000001"/>
    <n v="4.3"/>
  </r>
  <r>
    <s v="631-34-1880"/>
    <x v="0"/>
    <x v="1"/>
    <x v="0"/>
    <x v="0"/>
    <x v="2"/>
    <n v="24.31"/>
    <n v="3"/>
    <n v="3.6465000000000001"/>
    <x v="128"/>
    <x v="3"/>
    <x v="116"/>
    <x v="0"/>
    <n v="72.930000000000007"/>
    <n v="4.7619047620000003"/>
    <n v="3.6465000000000001"/>
    <n v="4.3"/>
  </r>
  <r>
    <s v="238-97-2581"/>
    <x v="0"/>
    <x v="0"/>
    <x v="0"/>
    <x v="0"/>
    <x v="2"/>
    <n v="24.31"/>
    <n v="3"/>
    <n v="3.6465000000000001"/>
    <x v="128"/>
    <x v="3"/>
    <x v="116"/>
    <x v="0"/>
    <n v="72.930000000000007"/>
    <n v="4.7619047620000003"/>
    <n v="3.6465000000000001"/>
    <n v="4.3"/>
  </r>
  <r>
    <s v="446-29-1237"/>
    <x v="0"/>
    <x v="0"/>
    <x v="0"/>
    <x v="0"/>
    <x v="2"/>
    <n v="24.31"/>
    <n v="3"/>
    <n v="3.6465000000000001"/>
    <x v="128"/>
    <x v="3"/>
    <x v="116"/>
    <x v="0"/>
    <n v="72.930000000000007"/>
    <n v="4.7619047620000003"/>
    <n v="3.6465000000000001"/>
    <n v="3.4"/>
  </r>
  <r>
    <s v="227-50-3718"/>
    <x v="0"/>
    <x v="2"/>
    <x v="1"/>
    <x v="0"/>
    <x v="4"/>
    <n v="14.62"/>
    <n v="5"/>
    <n v="3.6549999999999998"/>
    <x v="129"/>
    <x v="26"/>
    <x v="117"/>
    <x v="0"/>
    <n v="73.099999999999994"/>
    <n v="4.7619047620000003"/>
    <n v="3.6549999999999998"/>
    <n v="4.4000000000000004"/>
  </r>
  <r>
    <s v="585-90-0249"/>
    <x v="1"/>
    <x v="1"/>
    <x v="0"/>
    <x v="0"/>
    <x v="5"/>
    <n v="73.260000000000005"/>
    <n v="1"/>
    <n v="3.6629999999999998"/>
    <x v="130"/>
    <x v="17"/>
    <x v="118"/>
    <x v="0"/>
    <n v="73.260000000000005"/>
    <n v="4.7619047620000003"/>
    <n v="3.6629999999999998"/>
    <n v="9.6999999999999993"/>
  </r>
  <r>
    <s v="669-11-7675"/>
    <x v="1"/>
    <x v="2"/>
    <x v="0"/>
    <x v="0"/>
    <x v="5"/>
    <n v="73.260000000000005"/>
    <n v="1"/>
    <n v="3.6629999999999998"/>
    <x v="130"/>
    <x v="17"/>
    <x v="118"/>
    <x v="1"/>
    <n v="73.260000000000005"/>
    <n v="4.7619047620000003"/>
    <n v="3.6629999999999998"/>
    <n v="9.6999999999999993"/>
  </r>
  <r>
    <s v="908-29-2041"/>
    <x v="1"/>
    <x v="0"/>
    <x v="0"/>
    <x v="0"/>
    <x v="5"/>
    <n v="73.260000000000005"/>
    <n v="1"/>
    <n v="3.6629999999999998"/>
    <x v="130"/>
    <x v="17"/>
    <x v="118"/>
    <x v="1"/>
    <n v="73.260000000000005"/>
    <n v="4.7619047620000003"/>
    <n v="3.6629999999999998"/>
    <n v="3.5"/>
  </r>
  <r>
    <s v="835-16-0096"/>
    <x v="0"/>
    <x v="1"/>
    <x v="1"/>
    <x v="0"/>
    <x v="0"/>
    <n v="14.7"/>
    <n v="5"/>
    <n v="3.6749999999999998"/>
    <x v="131"/>
    <x v="73"/>
    <x v="119"/>
    <x v="1"/>
    <n v="73.5"/>
    <n v="4.7619047620000003"/>
    <n v="3.6749999999999998"/>
    <n v="8.5"/>
  </r>
  <r>
    <s v="339-12-4827"/>
    <x v="0"/>
    <x v="1"/>
    <x v="0"/>
    <x v="1"/>
    <x v="1"/>
    <n v="73.959999999999994"/>
    <n v="1"/>
    <n v="3.698"/>
    <x v="132"/>
    <x v="32"/>
    <x v="40"/>
    <x v="0"/>
    <n v="73.959999999999994"/>
    <n v="4.7619047620000003"/>
    <n v="3.698"/>
    <n v="5"/>
  </r>
  <r>
    <s v="899-19-6736"/>
    <x v="2"/>
    <x v="1"/>
    <x v="0"/>
    <x v="0"/>
    <x v="2"/>
    <n v="73.959999999999994"/>
    <n v="1"/>
    <n v="3.698"/>
    <x v="132"/>
    <x v="32"/>
    <x v="40"/>
    <x v="0"/>
    <n v="73.959999999999994"/>
    <n v="4.7619047620000003"/>
    <n v="3.698"/>
    <n v="5"/>
  </r>
  <r>
    <s v="626-20-3867"/>
    <x v="0"/>
    <x v="1"/>
    <x v="0"/>
    <x v="1"/>
    <x v="2"/>
    <n v="73.959999999999994"/>
    <n v="1"/>
    <n v="3.698"/>
    <x v="132"/>
    <x v="32"/>
    <x v="40"/>
    <x v="0"/>
    <n v="73.959999999999994"/>
    <n v="4.7619047620000003"/>
    <n v="3.698"/>
    <n v="5"/>
  </r>
  <r>
    <s v="277-63-2961"/>
    <x v="0"/>
    <x v="1"/>
    <x v="0"/>
    <x v="0"/>
    <x v="0"/>
    <n v="73.97"/>
    <n v="1"/>
    <n v="3.6985000000000001"/>
    <x v="133"/>
    <x v="52"/>
    <x v="85"/>
    <x v="0"/>
    <n v="73.97"/>
    <n v="4.7619047620000003"/>
    <n v="3.6985000000000001"/>
    <n v="5.4"/>
  </r>
  <r>
    <s v="377-93-1148"/>
    <x v="2"/>
    <x v="1"/>
    <x v="0"/>
    <x v="0"/>
    <x v="0"/>
    <n v="73.97"/>
    <n v="1"/>
    <n v="3.6985000000000001"/>
    <x v="133"/>
    <x v="52"/>
    <x v="85"/>
    <x v="0"/>
    <n v="73.97"/>
    <n v="4.7619047620000003"/>
    <n v="3.6985000000000001"/>
    <n v="5.4"/>
  </r>
  <r>
    <s v="685-74-6819"/>
    <x v="1"/>
    <x v="1"/>
    <x v="0"/>
    <x v="0"/>
    <x v="2"/>
    <n v="73.97"/>
    <n v="1"/>
    <n v="3.6985000000000001"/>
    <x v="133"/>
    <x v="52"/>
    <x v="85"/>
    <x v="1"/>
    <n v="73.97"/>
    <n v="4.7619047620000003"/>
    <n v="3.6985000000000001"/>
    <n v="5.4"/>
  </r>
  <r>
    <s v="445-89-1165"/>
    <x v="0"/>
    <x v="1"/>
    <x v="0"/>
    <x v="0"/>
    <x v="2"/>
    <n v="73.97"/>
    <n v="1"/>
    <n v="3.6985000000000001"/>
    <x v="133"/>
    <x v="52"/>
    <x v="85"/>
    <x v="0"/>
    <n v="73.97"/>
    <n v="4.7619047620000003"/>
    <n v="3.6985000000000001"/>
    <n v="5.4"/>
  </r>
  <r>
    <s v="400-60-7251"/>
    <x v="1"/>
    <x v="2"/>
    <x v="1"/>
    <x v="0"/>
    <x v="3"/>
    <n v="74.069999999999993"/>
    <n v="1"/>
    <n v="3.7035"/>
    <x v="134"/>
    <x v="64"/>
    <x v="120"/>
    <x v="0"/>
    <n v="74.069999999999993"/>
    <n v="4.7619047620000003"/>
    <n v="3.7035"/>
    <n v="9.9"/>
  </r>
  <r>
    <s v="815-77-4136"/>
    <x v="0"/>
    <x v="2"/>
    <x v="1"/>
    <x v="0"/>
    <x v="3"/>
    <n v="74.069999999999993"/>
    <n v="1"/>
    <n v="3.7035"/>
    <x v="134"/>
    <x v="64"/>
    <x v="120"/>
    <x v="0"/>
    <n v="74.069999999999993"/>
    <n v="4.7619047620000003"/>
    <n v="3.7035"/>
    <n v="9.9"/>
  </r>
  <r>
    <s v="843-73-4724"/>
    <x v="1"/>
    <x v="1"/>
    <x v="1"/>
    <x v="0"/>
    <x v="1"/>
    <n v="74.099999999999994"/>
    <n v="1"/>
    <n v="3.7050000000000001"/>
    <x v="135"/>
    <x v="6"/>
    <x v="121"/>
    <x v="0"/>
    <n v="74.099999999999994"/>
    <n v="4.7619047620000003"/>
    <n v="3.7050000000000001"/>
    <n v="9.1999999999999993"/>
  </r>
  <r>
    <s v="285-68-5083"/>
    <x v="0"/>
    <x v="0"/>
    <x v="0"/>
    <x v="0"/>
    <x v="0"/>
    <n v="24.74"/>
    <n v="3"/>
    <n v="3.7109999999999999"/>
    <x v="136"/>
    <x v="74"/>
    <x v="122"/>
    <x v="0"/>
    <n v="74.22"/>
    <n v="4.7619047620000003"/>
    <n v="3.7109999999999999"/>
    <n v="10"/>
  </r>
  <r>
    <s v="619-92-9507"/>
    <x v="1"/>
    <x v="0"/>
    <x v="0"/>
    <x v="0"/>
    <x v="2"/>
    <n v="24.74"/>
    <n v="3"/>
    <n v="3.7109999999999999"/>
    <x v="136"/>
    <x v="74"/>
    <x v="122"/>
    <x v="1"/>
    <n v="74.22"/>
    <n v="4.7619047620000003"/>
    <n v="3.7109999999999999"/>
    <n v="10"/>
  </r>
  <r>
    <s v="556-86-3144"/>
    <x v="0"/>
    <x v="0"/>
    <x v="0"/>
    <x v="0"/>
    <x v="1"/>
    <n v="74.290000000000006"/>
    <n v="1"/>
    <n v="3.7145000000000001"/>
    <x v="137"/>
    <x v="75"/>
    <x v="123"/>
    <x v="0"/>
    <n v="74.290000000000006"/>
    <n v="4.7619047620000003"/>
    <n v="3.7145000000000001"/>
    <n v="5"/>
  </r>
  <r>
    <s v="808-21-4298"/>
    <x v="0"/>
    <x v="0"/>
    <x v="1"/>
    <x v="0"/>
    <x v="5"/>
    <n v="12.45"/>
    <n v="6"/>
    <n v="3.7349999999999999"/>
    <x v="138"/>
    <x v="14"/>
    <x v="124"/>
    <x v="0"/>
    <n v="74.7"/>
    <n v="4.7619047620000003"/>
    <n v="3.7349999999999999"/>
    <n v="4.0999999999999996"/>
  </r>
  <r>
    <s v="871-39-9221"/>
    <x v="0"/>
    <x v="1"/>
    <x v="1"/>
    <x v="0"/>
    <x v="2"/>
    <n v="12.45"/>
    <n v="6"/>
    <n v="3.7349999999999999"/>
    <x v="138"/>
    <x v="14"/>
    <x v="124"/>
    <x v="0"/>
    <n v="74.7"/>
    <n v="4.7619047620000003"/>
    <n v="3.7349999999999999"/>
    <n v="4.0999999999999996"/>
  </r>
  <r>
    <s v="593-95-4461"/>
    <x v="0"/>
    <x v="1"/>
    <x v="1"/>
    <x v="0"/>
    <x v="3"/>
    <n v="74.86"/>
    <n v="1"/>
    <n v="3.7429999999999999"/>
    <x v="139"/>
    <x v="73"/>
    <x v="125"/>
    <x v="0"/>
    <n v="74.86"/>
    <n v="4.7619047620000003"/>
    <n v="3.7429999999999999"/>
    <n v="6.9"/>
  </r>
  <r>
    <s v="578-80-7669"/>
    <x v="2"/>
    <x v="1"/>
    <x v="1"/>
    <x v="0"/>
    <x v="0"/>
    <n v="74.97"/>
    <n v="1"/>
    <n v="3.7484999999999999"/>
    <x v="140"/>
    <x v="29"/>
    <x v="126"/>
    <x v="0"/>
    <n v="74.97"/>
    <n v="4.7619047620000003"/>
    <n v="3.7484999999999999"/>
    <n v="5.6"/>
  </r>
  <r>
    <s v="699-67-2839"/>
    <x v="2"/>
    <x v="1"/>
    <x v="1"/>
    <x v="0"/>
    <x v="0"/>
    <n v="74.97"/>
    <n v="1"/>
    <n v="3.7484999999999999"/>
    <x v="140"/>
    <x v="29"/>
    <x v="126"/>
    <x v="0"/>
    <n v="74.97"/>
    <n v="4.7619047620000003"/>
    <n v="3.7484999999999999"/>
    <n v="5.6"/>
  </r>
  <r>
    <s v="546-80-2899"/>
    <x v="1"/>
    <x v="1"/>
    <x v="0"/>
    <x v="0"/>
    <x v="3"/>
    <n v="37.69"/>
    <n v="2"/>
    <n v="3.7690000000000001"/>
    <x v="141"/>
    <x v="76"/>
    <x v="127"/>
    <x v="1"/>
    <n v="75.38"/>
    <n v="4.7619047620000003"/>
    <n v="3.7690000000000001"/>
    <n v="9.5"/>
  </r>
  <r>
    <s v="525-88-7307"/>
    <x v="0"/>
    <x v="1"/>
    <x v="0"/>
    <x v="0"/>
    <x v="0"/>
    <n v="75.819999999999993"/>
    <n v="1"/>
    <n v="3.7909999999999999"/>
    <x v="142"/>
    <x v="63"/>
    <x v="128"/>
    <x v="0"/>
    <n v="75.819999999999993"/>
    <n v="4.7619047620000003"/>
    <n v="3.7909999999999999"/>
    <n v="5.8"/>
  </r>
  <r>
    <s v="723-28-1008"/>
    <x v="2"/>
    <x v="1"/>
    <x v="0"/>
    <x v="0"/>
    <x v="0"/>
    <n v="75.819999999999993"/>
    <n v="1"/>
    <n v="3.7909999999999999"/>
    <x v="142"/>
    <x v="63"/>
    <x v="128"/>
    <x v="0"/>
    <n v="75.819999999999993"/>
    <n v="4.7619047620000003"/>
    <n v="3.7909999999999999"/>
    <n v="5.8"/>
  </r>
  <r>
    <s v="343-87-0864"/>
    <x v="0"/>
    <x v="0"/>
    <x v="0"/>
    <x v="0"/>
    <x v="4"/>
    <n v="75.88"/>
    <n v="1"/>
    <n v="3.794"/>
    <x v="143"/>
    <x v="43"/>
    <x v="129"/>
    <x v="0"/>
    <n v="75.88"/>
    <n v="4.7619047620000003"/>
    <n v="3.794"/>
    <n v="7.1"/>
  </r>
  <r>
    <s v="169-67-8871"/>
    <x v="0"/>
    <x v="0"/>
    <x v="0"/>
    <x v="0"/>
    <x v="2"/>
    <n v="75.88"/>
    <n v="1"/>
    <n v="3.794"/>
    <x v="143"/>
    <x v="43"/>
    <x v="129"/>
    <x v="0"/>
    <n v="75.88"/>
    <n v="4.7619047620000003"/>
    <n v="3.794"/>
    <n v="7.1"/>
  </r>
  <r>
    <s v="226-31-3081"/>
    <x v="0"/>
    <x v="0"/>
    <x v="1"/>
    <x v="0"/>
    <x v="5"/>
    <n v="15.28"/>
    <n v="5"/>
    <n v="3.82"/>
    <x v="144"/>
    <x v="66"/>
    <x v="130"/>
    <x v="0"/>
    <n v="76.400000000000006"/>
    <n v="4.7619047620000003"/>
    <n v="3.82"/>
    <n v="9.6"/>
  </r>
  <r>
    <s v="574-88-0256"/>
    <x v="0"/>
    <x v="0"/>
    <x v="1"/>
    <x v="0"/>
    <x v="5"/>
    <n v="15.28"/>
    <n v="5"/>
    <n v="3.82"/>
    <x v="144"/>
    <x v="66"/>
    <x v="130"/>
    <x v="0"/>
    <n v="76.400000000000006"/>
    <n v="4.7619047620000003"/>
    <n v="3.82"/>
    <n v="9.6"/>
  </r>
  <r>
    <s v="172-42-8274"/>
    <x v="2"/>
    <x v="1"/>
    <x v="1"/>
    <x v="1"/>
    <x v="5"/>
    <n v="38.270000000000003"/>
    <n v="2"/>
    <n v="3.827"/>
    <x v="145"/>
    <x v="23"/>
    <x v="131"/>
    <x v="0"/>
    <n v="76.540000000000006"/>
    <n v="4.7619047620000003"/>
    <n v="3.827"/>
    <n v="5.8"/>
  </r>
  <r>
    <s v="670-39-3181"/>
    <x v="2"/>
    <x v="1"/>
    <x v="1"/>
    <x v="0"/>
    <x v="5"/>
    <n v="38.270000000000003"/>
    <n v="2"/>
    <n v="3.827"/>
    <x v="145"/>
    <x v="23"/>
    <x v="131"/>
    <x v="2"/>
    <n v="76.540000000000006"/>
    <n v="4.7619047620000003"/>
    <n v="3.827"/>
    <n v="5.8"/>
  </r>
  <r>
    <s v="832-54-9821"/>
    <x v="2"/>
    <x v="0"/>
    <x v="1"/>
    <x v="0"/>
    <x v="5"/>
    <n v="38.270000000000003"/>
    <n v="2"/>
    <n v="3.827"/>
    <x v="145"/>
    <x v="23"/>
    <x v="131"/>
    <x v="2"/>
    <n v="76.540000000000006"/>
    <n v="4.7619047620000003"/>
    <n v="3.827"/>
    <n v="3.6"/>
  </r>
  <r>
    <s v="283-34-1502"/>
    <x v="1"/>
    <x v="2"/>
    <x v="0"/>
    <x v="0"/>
    <x v="5"/>
    <n v="76.819999999999993"/>
    <n v="1"/>
    <n v="3.8410000000000002"/>
    <x v="146"/>
    <x v="25"/>
    <x v="132"/>
    <x v="0"/>
    <n v="76.819999999999993"/>
    <n v="4.7619047620000003"/>
    <n v="3.8410000000000002"/>
    <n v="7.2"/>
  </r>
  <r>
    <s v="563-36-9814"/>
    <x v="0"/>
    <x v="1"/>
    <x v="0"/>
    <x v="0"/>
    <x v="5"/>
    <n v="76.819999999999993"/>
    <n v="1"/>
    <n v="3.8410000000000002"/>
    <x v="146"/>
    <x v="25"/>
    <x v="132"/>
    <x v="1"/>
    <n v="76.819999999999993"/>
    <n v="4.7619047620000003"/>
    <n v="3.8410000000000002"/>
    <n v="7.2"/>
  </r>
  <r>
    <s v="458-94-7481"/>
    <x v="1"/>
    <x v="2"/>
    <x v="0"/>
    <x v="0"/>
    <x v="2"/>
    <n v="76.819999999999993"/>
    <n v="1"/>
    <n v="3.8410000000000002"/>
    <x v="146"/>
    <x v="25"/>
    <x v="132"/>
    <x v="1"/>
    <n v="76.819999999999993"/>
    <n v="4.7619047620000003"/>
    <n v="3.8410000000000002"/>
    <n v="7.2"/>
  </r>
  <r>
    <s v="228-65-1682"/>
    <x v="1"/>
    <x v="2"/>
    <x v="1"/>
    <x v="0"/>
    <x v="0"/>
    <n v="25.7"/>
    <n v="3"/>
    <n v="3.855"/>
    <x v="147"/>
    <x v="77"/>
    <x v="133"/>
    <x v="1"/>
    <n v="77.099999999999994"/>
    <n v="4.7619047620000003"/>
    <n v="3.855"/>
    <n v="6.1"/>
  </r>
  <r>
    <s v="445-30-9252"/>
    <x v="0"/>
    <x v="2"/>
    <x v="1"/>
    <x v="0"/>
    <x v="0"/>
    <n v="25.7"/>
    <n v="3"/>
    <n v="3.855"/>
    <x v="147"/>
    <x v="77"/>
    <x v="133"/>
    <x v="0"/>
    <n v="77.099999999999994"/>
    <n v="4.7619047620000003"/>
    <n v="3.855"/>
    <n v="6.1"/>
  </r>
  <r>
    <s v="489-63-6789"/>
    <x v="0"/>
    <x v="2"/>
    <x v="1"/>
    <x v="0"/>
    <x v="0"/>
    <n v="25.7"/>
    <n v="3"/>
    <n v="3.855"/>
    <x v="147"/>
    <x v="77"/>
    <x v="133"/>
    <x v="0"/>
    <n v="77.099999999999994"/>
    <n v="4.7619047620000003"/>
    <n v="3.855"/>
    <n v="6.1"/>
  </r>
  <r>
    <s v="189-21-5032"/>
    <x v="0"/>
    <x v="1"/>
    <x v="1"/>
    <x v="0"/>
    <x v="2"/>
    <n v="25.7"/>
    <n v="3"/>
    <n v="3.855"/>
    <x v="147"/>
    <x v="77"/>
    <x v="133"/>
    <x v="0"/>
    <n v="77.099999999999994"/>
    <n v="4.7619047620000003"/>
    <n v="3.855"/>
    <n v="6.1"/>
  </r>
  <r>
    <s v="384-21-8091"/>
    <x v="1"/>
    <x v="2"/>
    <x v="1"/>
    <x v="0"/>
    <x v="0"/>
    <n v="25.84"/>
    <n v="3"/>
    <n v="3.8759999999999999"/>
    <x v="148"/>
    <x v="20"/>
    <x v="134"/>
    <x v="0"/>
    <n v="77.52"/>
    <n v="4.7619047620000003"/>
    <n v="3.8759999999999999"/>
    <n v="6.6"/>
  </r>
  <r>
    <s v="696-90-2548"/>
    <x v="0"/>
    <x v="2"/>
    <x v="1"/>
    <x v="0"/>
    <x v="0"/>
    <n v="25.84"/>
    <n v="3"/>
    <n v="3.8759999999999999"/>
    <x v="148"/>
    <x v="20"/>
    <x v="134"/>
    <x v="1"/>
    <n v="77.52"/>
    <n v="4.7619047620000003"/>
    <n v="3.8759999999999999"/>
    <n v="6.6"/>
  </r>
  <r>
    <s v="173-90-4352"/>
    <x v="0"/>
    <x v="2"/>
    <x v="1"/>
    <x v="0"/>
    <x v="0"/>
    <n v="25.84"/>
    <n v="3"/>
    <n v="3.8759999999999999"/>
    <x v="148"/>
    <x v="20"/>
    <x v="134"/>
    <x v="0"/>
    <n v="77.52"/>
    <n v="4.7619047620000003"/>
    <n v="3.8759999999999999"/>
    <n v="6.6"/>
  </r>
  <r>
    <s v="636-98-3364"/>
    <x v="2"/>
    <x v="1"/>
    <x v="0"/>
    <x v="1"/>
    <x v="5"/>
    <n v="26.26"/>
    <n v="3"/>
    <n v="3.9390000000000001"/>
    <x v="149"/>
    <x v="23"/>
    <x v="135"/>
    <x v="0"/>
    <n v="78.78"/>
    <n v="4.7619047620000003"/>
    <n v="3.9390000000000001"/>
    <n v="6.3"/>
  </r>
  <r>
    <s v="916-22-5934"/>
    <x v="2"/>
    <x v="1"/>
    <x v="0"/>
    <x v="0"/>
    <x v="2"/>
    <n v="26.26"/>
    <n v="3"/>
    <n v="3.9390000000000001"/>
    <x v="149"/>
    <x v="23"/>
    <x v="135"/>
    <x v="1"/>
    <n v="78.78"/>
    <n v="4.7619047620000003"/>
    <n v="3.9390000000000001"/>
    <n v="6.3"/>
  </r>
  <r>
    <s v="126-83-6475"/>
    <x v="2"/>
    <x v="0"/>
    <x v="0"/>
    <x v="1"/>
    <x v="5"/>
    <n v="26.26"/>
    <n v="3"/>
    <n v="3.9390000000000001"/>
    <x v="149"/>
    <x v="23"/>
    <x v="135"/>
    <x v="0"/>
    <n v="78.78"/>
    <n v="4.7619047620000003"/>
    <n v="3.9390000000000001"/>
    <n v="3.7"/>
  </r>
  <r>
    <s v="400-89-7565"/>
    <x v="1"/>
    <x v="2"/>
    <x v="0"/>
    <x v="0"/>
    <x v="0"/>
    <n v="39.47"/>
    <n v="2"/>
    <n v="3.9470000000000001"/>
    <x v="150"/>
    <x v="23"/>
    <x v="136"/>
    <x v="0"/>
    <n v="78.94"/>
    <n v="4.7619047620000003"/>
    <n v="3.9470000000000001"/>
    <n v="5"/>
  </r>
  <r>
    <s v="860-73-6466"/>
    <x v="1"/>
    <x v="1"/>
    <x v="0"/>
    <x v="1"/>
    <x v="2"/>
    <n v="39.47"/>
    <n v="2"/>
    <n v="3.9470000000000001"/>
    <x v="150"/>
    <x v="23"/>
    <x v="136"/>
    <x v="0"/>
    <n v="78.94"/>
    <n v="4.7619047620000003"/>
    <n v="3.9470000000000001"/>
    <n v="5"/>
  </r>
  <r>
    <s v="495-63-7655"/>
    <x v="0"/>
    <x v="2"/>
    <x v="0"/>
    <x v="0"/>
    <x v="0"/>
    <n v="39.47"/>
    <n v="2"/>
    <n v="3.9470000000000001"/>
    <x v="150"/>
    <x v="23"/>
    <x v="136"/>
    <x v="0"/>
    <n v="78.94"/>
    <n v="4.7619047620000003"/>
    <n v="3.9470000000000001"/>
    <n v="5"/>
  </r>
  <r>
    <s v="189-48-2934"/>
    <x v="1"/>
    <x v="2"/>
    <x v="0"/>
    <x v="0"/>
    <x v="5"/>
    <n v="26.48"/>
    <n v="3"/>
    <n v="3.972"/>
    <x v="151"/>
    <x v="78"/>
    <x v="137"/>
    <x v="1"/>
    <n v="79.44"/>
    <n v="4.7619047620000003"/>
    <n v="3.972"/>
    <n v="4.7"/>
  </r>
  <r>
    <s v="512-98-1403"/>
    <x v="1"/>
    <x v="1"/>
    <x v="1"/>
    <x v="1"/>
    <x v="5"/>
    <n v="26.48"/>
    <n v="3"/>
    <n v="3.972"/>
    <x v="151"/>
    <x v="78"/>
    <x v="137"/>
    <x v="1"/>
    <n v="79.44"/>
    <n v="4.7619047620000003"/>
    <n v="3.972"/>
    <n v="4.7"/>
  </r>
  <r>
    <s v="885-17-6250"/>
    <x v="0"/>
    <x v="1"/>
    <x v="1"/>
    <x v="1"/>
    <x v="2"/>
    <n v="79.739999999999995"/>
    <n v="1"/>
    <n v="3.9870000000000001"/>
    <x v="152"/>
    <x v="37"/>
    <x v="31"/>
    <x v="1"/>
    <n v="79.739999999999995"/>
    <n v="4.7619047620000003"/>
    <n v="3.9870000000000001"/>
    <n v="7.3"/>
  </r>
  <r>
    <s v="319-50-3348"/>
    <x v="2"/>
    <x v="1"/>
    <x v="1"/>
    <x v="1"/>
    <x v="3"/>
    <n v="40.299999999999997"/>
    <n v="2"/>
    <n v="4.03"/>
    <x v="153"/>
    <x v="79"/>
    <x v="138"/>
    <x v="0"/>
    <n v="80.599999999999994"/>
    <n v="4.7619047620000003"/>
    <n v="4.03"/>
    <n v="4.4000000000000004"/>
  </r>
  <r>
    <s v="209-47-7603"/>
    <x v="2"/>
    <x v="1"/>
    <x v="1"/>
    <x v="1"/>
    <x v="3"/>
    <n v="40.299999999999997"/>
    <n v="2"/>
    <n v="4.03"/>
    <x v="153"/>
    <x v="79"/>
    <x v="138"/>
    <x v="0"/>
    <n v="80.599999999999994"/>
    <n v="4.7619047620000003"/>
    <n v="4.03"/>
    <n v="4.4000000000000004"/>
  </r>
  <r>
    <s v="121-76-4758"/>
    <x v="1"/>
    <x v="2"/>
    <x v="1"/>
    <x v="0"/>
    <x v="2"/>
    <n v="11.53"/>
    <n v="7"/>
    <n v="4.0354999999999999"/>
    <x v="154"/>
    <x v="12"/>
    <x v="139"/>
    <x v="0"/>
    <n v="80.709999999999994"/>
    <n v="4.7619047620000003"/>
    <n v="4.0354999999999999"/>
    <n v="8.1"/>
  </r>
  <r>
    <s v="865-41-9075"/>
    <x v="1"/>
    <x v="1"/>
    <x v="1"/>
    <x v="0"/>
    <x v="2"/>
    <n v="11.53"/>
    <n v="7"/>
    <n v="4.0354999999999999"/>
    <x v="154"/>
    <x v="12"/>
    <x v="139"/>
    <x v="0"/>
    <n v="80.709999999999994"/>
    <n v="4.7619047620000003"/>
    <n v="4.0354999999999999"/>
    <n v="8.1"/>
  </r>
  <r>
    <s v="173-50-1108"/>
    <x v="0"/>
    <x v="1"/>
    <x v="0"/>
    <x v="1"/>
    <x v="0"/>
    <n v="20.18"/>
    <n v="4"/>
    <n v="4.0359999999999996"/>
    <x v="155"/>
    <x v="25"/>
    <x v="111"/>
    <x v="2"/>
    <n v="80.72"/>
    <n v="4.7619047620000003"/>
    <n v="4.0359999999999996"/>
    <n v="5"/>
  </r>
  <r>
    <s v="299-14-2831"/>
    <x v="2"/>
    <x v="1"/>
    <x v="0"/>
    <x v="0"/>
    <x v="0"/>
    <n v="20.18"/>
    <n v="4"/>
    <n v="4.0359999999999996"/>
    <x v="155"/>
    <x v="25"/>
    <x v="111"/>
    <x v="0"/>
    <n v="80.72"/>
    <n v="4.7619047620000003"/>
    <n v="4.0359999999999996"/>
    <n v="5"/>
  </r>
  <r>
    <s v="130-13-6892"/>
    <x v="1"/>
    <x v="1"/>
    <x v="0"/>
    <x v="0"/>
    <x v="0"/>
    <n v="20.18"/>
    <n v="4"/>
    <n v="4.0359999999999996"/>
    <x v="155"/>
    <x v="25"/>
    <x v="111"/>
    <x v="0"/>
    <n v="80.72"/>
    <n v="4.7619047620000003"/>
    <n v="4.0359999999999996"/>
    <n v="5"/>
  </r>
  <r>
    <s v="284-54-4231"/>
    <x v="0"/>
    <x v="0"/>
    <x v="0"/>
    <x v="0"/>
    <x v="0"/>
    <n v="80.930000000000007"/>
    <n v="1"/>
    <n v="4.0465"/>
    <x v="156"/>
    <x v="35"/>
    <x v="140"/>
    <x v="0"/>
    <n v="80.930000000000007"/>
    <n v="4.7619047620000003"/>
    <n v="4.0465"/>
    <n v="9"/>
  </r>
  <r>
    <s v="365-17-9496"/>
    <x v="0"/>
    <x v="0"/>
    <x v="0"/>
    <x v="0"/>
    <x v="0"/>
    <n v="80.930000000000007"/>
    <n v="1"/>
    <n v="4.0465"/>
    <x v="156"/>
    <x v="35"/>
    <x v="140"/>
    <x v="0"/>
    <n v="80.930000000000007"/>
    <n v="4.7619047620000003"/>
    <n v="4.0465"/>
    <n v="9"/>
  </r>
  <r>
    <s v="325-41-9358"/>
    <x v="1"/>
    <x v="0"/>
    <x v="0"/>
    <x v="0"/>
    <x v="2"/>
    <n v="80.930000000000007"/>
    <n v="1"/>
    <n v="4.0465"/>
    <x v="156"/>
    <x v="35"/>
    <x v="140"/>
    <x v="1"/>
    <n v="80.930000000000007"/>
    <n v="4.7619047620000003"/>
    <n v="4.0465"/>
    <n v="9"/>
  </r>
  <r>
    <s v="300-15-1947"/>
    <x v="0"/>
    <x v="0"/>
    <x v="0"/>
    <x v="0"/>
    <x v="2"/>
    <n v="80.930000000000007"/>
    <n v="1"/>
    <n v="4.0465"/>
    <x v="156"/>
    <x v="35"/>
    <x v="140"/>
    <x v="0"/>
    <n v="80.930000000000007"/>
    <n v="4.7619047620000003"/>
    <n v="4.0465"/>
    <n v="9"/>
  </r>
  <r>
    <s v="225-98-1496"/>
    <x v="0"/>
    <x v="0"/>
    <x v="1"/>
    <x v="0"/>
    <x v="1"/>
    <n v="27.02"/>
    <n v="3"/>
    <n v="4.0529999999999999"/>
    <x v="157"/>
    <x v="23"/>
    <x v="141"/>
    <x v="2"/>
    <n v="81.06"/>
    <n v="4.7619047620000003"/>
    <n v="4.0529999999999999"/>
    <n v="7.1"/>
  </r>
  <r>
    <s v="679-22-6530"/>
    <x v="2"/>
    <x v="1"/>
    <x v="1"/>
    <x v="1"/>
    <x v="0"/>
    <n v="40.619999999999997"/>
    <n v="2"/>
    <n v="4.0620000000000003"/>
    <x v="158"/>
    <x v="77"/>
    <x v="142"/>
    <x v="2"/>
    <n v="81.239999999999995"/>
    <n v="4.7619047620000003"/>
    <n v="4.0620000000000003"/>
    <n v="4.0999999999999996"/>
  </r>
  <r>
    <s v="732-55-7364"/>
    <x v="2"/>
    <x v="1"/>
    <x v="1"/>
    <x v="0"/>
    <x v="0"/>
    <n v="40.619999999999997"/>
    <n v="2"/>
    <n v="4.0620000000000003"/>
    <x v="158"/>
    <x v="77"/>
    <x v="142"/>
    <x v="2"/>
    <n v="81.239999999999995"/>
    <n v="4.7619047620000003"/>
    <n v="4.0620000000000003"/>
    <n v="4.0999999999999996"/>
  </r>
  <r>
    <s v="175-74-9811"/>
    <x v="2"/>
    <x v="1"/>
    <x v="1"/>
    <x v="1"/>
    <x v="0"/>
    <n v="40.619999999999997"/>
    <n v="2"/>
    <n v="4.0620000000000003"/>
    <x v="158"/>
    <x v="77"/>
    <x v="142"/>
    <x v="2"/>
    <n v="81.239999999999995"/>
    <n v="4.7619047620000003"/>
    <n v="4.0620000000000003"/>
    <n v="3.8"/>
  </r>
  <r>
    <s v="115-38-7388"/>
    <x v="0"/>
    <x v="1"/>
    <x v="0"/>
    <x v="1"/>
    <x v="1"/>
    <n v="10.18"/>
    <n v="8"/>
    <n v="4.0720000000000001"/>
    <x v="159"/>
    <x v="80"/>
    <x v="143"/>
    <x v="2"/>
    <n v="81.44"/>
    <n v="4.7619047620000003"/>
    <n v="4.0720000000000001"/>
    <n v="9.5"/>
  </r>
  <r>
    <s v="186-09-3669"/>
    <x v="0"/>
    <x v="0"/>
    <x v="0"/>
    <x v="1"/>
    <x v="4"/>
    <n v="81.510000000000005"/>
    <n v="1"/>
    <n v="4.0754999999999999"/>
    <x v="160"/>
    <x v="81"/>
    <x v="144"/>
    <x v="1"/>
    <n v="81.510000000000005"/>
    <n v="4.7619047620000003"/>
    <n v="4.0754999999999999"/>
    <n v="9.1999999999999993"/>
  </r>
  <r>
    <s v="116-68-7712"/>
    <x v="0"/>
    <x v="0"/>
    <x v="1"/>
    <x v="0"/>
    <x v="2"/>
    <n v="27.22"/>
    <n v="3"/>
    <n v="4.0830000000000002"/>
    <x v="161"/>
    <x v="65"/>
    <x v="145"/>
    <x v="0"/>
    <n v="81.66"/>
    <n v="4.7619047620000003"/>
    <n v="4.0830000000000002"/>
    <n v="7.3"/>
  </r>
  <r>
    <s v="390-31-6381"/>
    <x v="0"/>
    <x v="0"/>
    <x v="1"/>
    <x v="0"/>
    <x v="2"/>
    <n v="27.22"/>
    <n v="3"/>
    <n v="4.0830000000000002"/>
    <x v="161"/>
    <x v="65"/>
    <x v="145"/>
    <x v="0"/>
    <n v="81.66"/>
    <n v="4.7619047620000003"/>
    <n v="4.0830000000000002"/>
    <n v="7.3"/>
  </r>
  <r>
    <s v="196-85-9587"/>
    <x v="0"/>
    <x v="0"/>
    <x v="1"/>
    <x v="0"/>
    <x v="2"/>
    <n v="27.22"/>
    <n v="3"/>
    <n v="4.0830000000000002"/>
    <x v="161"/>
    <x v="65"/>
    <x v="145"/>
    <x v="0"/>
    <n v="81.66"/>
    <n v="4.7619047620000003"/>
    <n v="4.0830000000000002"/>
    <n v="7.3"/>
  </r>
  <r>
    <s v="388-76-2555"/>
    <x v="2"/>
    <x v="1"/>
    <x v="1"/>
    <x v="0"/>
    <x v="0"/>
    <n v="13.69"/>
    <n v="6"/>
    <n v="4.1070000000000002"/>
    <x v="162"/>
    <x v="25"/>
    <x v="146"/>
    <x v="0"/>
    <n v="82.14"/>
    <n v="4.7619047620000003"/>
    <n v="4.1070000000000002"/>
    <n v="6.3"/>
  </r>
  <r>
    <s v="538-16-5229"/>
    <x v="2"/>
    <x v="1"/>
    <x v="1"/>
    <x v="0"/>
    <x v="0"/>
    <n v="13.69"/>
    <n v="6"/>
    <n v="4.1070000000000002"/>
    <x v="162"/>
    <x v="25"/>
    <x v="146"/>
    <x v="0"/>
    <n v="82.14"/>
    <n v="4.7619047620000003"/>
    <n v="4.1070000000000002"/>
    <n v="6.3"/>
  </r>
  <r>
    <s v="510-77-9381"/>
    <x v="0"/>
    <x v="1"/>
    <x v="1"/>
    <x v="0"/>
    <x v="0"/>
    <n v="13.69"/>
    <n v="6"/>
    <n v="4.1070000000000002"/>
    <x v="162"/>
    <x v="25"/>
    <x v="146"/>
    <x v="0"/>
    <n v="82.14"/>
    <n v="4.7619047620000003"/>
    <n v="4.1070000000000002"/>
    <n v="6.3"/>
  </r>
  <r>
    <s v="444-86-9669"/>
    <x v="2"/>
    <x v="1"/>
    <x v="1"/>
    <x v="0"/>
    <x v="5"/>
    <n v="27.5"/>
    <n v="3"/>
    <n v="4.125"/>
    <x v="163"/>
    <x v="47"/>
    <x v="147"/>
    <x v="0"/>
    <n v="82.5"/>
    <n v="4.7619047620000003"/>
    <n v="4.125"/>
    <n v="6.5"/>
  </r>
  <r>
    <s v="453-63-6187"/>
    <x v="2"/>
    <x v="1"/>
    <x v="1"/>
    <x v="0"/>
    <x v="5"/>
    <n v="27.5"/>
    <n v="3"/>
    <n v="4.125"/>
    <x v="163"/>
    <x v="47"/>
    <x v="147"/>
    <x v="1"/>
    <n v="82.5"/>
    <n v="4.7619047620000003"/>
    <n v="4.125"/>
    <n v="6.5"/>
  </r>
  <r>
    <s v="562-90-2695"/>
    <x v="0"/>
    <x v="1"/>
    <x v="1"/>
    <x v="0"/>
    <x v="5"/>
    <n v="27.5"/>
    <n v="3"/>
    <n v="4.125"/>
    <x v="163"/>
    <x v="47"/>
    <x v="147"/>
    <x v="0"/>
    <n v="82.5"/>
    <n v="4.7619047620000003"/>
    <n v="4.125"/>
    <n v="6.5"/>
  </r>
  <r>
    <s v="187-83-5490"/>
    <x v="0"/>
    <x v="2"/>
    <x v="0"/>
    <x v="0"/>
    <x v="5"/>
    <n v="20.77"/>
    <n v="4"/>
    <n v="4.1539999999999999"/>
    <x v="164"/>
    <x v="63"/>
    <x v="148"/>
    <x v="0"/>
    <n v="83.08"/>
    <n v="4.7619047620000003"/>
    <n v="4.1539999999999999"/>
    <n v="4.7"/>
  </r>
  <r>
    <s v="219-61-4139"/>
    <x v="0"/>
    <x v="0"/>
    <x v="1"/>
    <x v="0"/>
    <x v="5"/>
    <n v="83.08"/>
    <n v="1"/>
    <n v="4.1539999999999999"/>
    <x v="164"/>
    <x v="27"/>
    <x v="149"/>
    <x v="0"/>
    <n v="83.08"/>
    <n v="4.7619047620000003"/>
    <n v="4.1539999999999999"/>
    <n v="6.4"/>
  </r>
  <r>
    <s v="293-25-3901"/>
    <x v="0"/>
    <x v="0"/>
    <x v="1"/>
    <x v="0"/>
    <x v="5"/>
    <n v="83.08"/>
    <n v="1"/>
    <n v="4.1539999999999999"/>
    <x v="164"/>
    <x v="27"/>
    <x v="149"/>
    <x v="0"/>
    <n v="83.08"/>
    <n v="4.7619047620000003"/>
    <n v="4.1539999999999999"/>
    <n v="6.4"/>
  </r>
  <r>
    <s v="352-67-5962"/>
    <x v="1"/>
    <x v="2"/>
    <x v="0"/>
    <x v="0"/>
    <x v="5"/>
    <n v="20.77"/>
    <n v="4"/>
    <n v="4.1539999999999999"/>
    <x v="164"/>
    <x v="63"/>
    <x v="148"/>
    <x v="0"/>
    <n v="83.08"/>
    <n v="4.7619047620000003"/>
    <n v="4.1539999999999999"/>
    <n v="4.7"/>
  </r>
  <r>
    <s v="665-75-6601"/>
    <x v="1"/>
    <x v="0"/>
    <x v="1"/>
    <x v="0"/>
    <x v="5"/>
    <n v="83.08"/>
    <n v="1"/>
    <n v="4.1539999999999999"/>
    <x v="164"/>
    <x v="27"/>
    <x v="149"/>
    <x v="0"/>
    <n v="83.08"/>
    <n v="4.7619047620000003"/>
    <n v="4.1539999999999999"/>
    <n v="6.4"/>
  </r>
  <r>
    <s v="461-33-8109"/>
    <x v="1"/>
    <x v="2"/>
    <x v="0"/>
    <x v="0"/>
    <x v="2"/>
    <n v="20.77"/>
    <n v="4"/>
    <n v="4.1539999999999999"/>
    <x v="164"/>
    <x v="63"/>
    <x v="148"/>
    <x v="0"/>
    <n v="83.08"/>
    <n v="4.7619047620000003"/>
    <n v="4.1539999999999999"/>
    <n v="4.7"/>
  </r>
  <r>
    <s v="227-45-8142"/>
    <x v="0"/>
    <x v="0"/>
    <x v="0"/>
    <x v="0"/>
    <x v="2"/>
    <n v="21.04"/>
    <n v="4"/>
    <n v="4.2080000000000002"/>
    <x v="165"/>
    <x v="75"/>
    <x v="150"/>
    <x v="0"/>
    <n v="84.16"/>
    <n v="4.7619047620000003"/>
    <n v="4.2080000000000002"/>
    <n v="7.6"/>
  </r>
  <r>
    <s v="784-08-0310"/>
    <x v="0"/>
    <x v="0"/>
    <x v="0"/>
    <x v="1"/>
    <x v="2"/>
    <n v="21.04"/>
    <n v="4"/>
    <n v="4.2080000000000002"/>
    <x v="165"/>
    <x v="75"/>
    <x v="150"/>
    <x v="0"/>
    <n v="84.16"/>
    <n v="4.7619047620000003"/>
    <n v="4.2080000000000002"/>
    <n v="7.6"/>
  </r>
  <r>
    <s v="237-44-6163"/>
    <x v="1"/>
    <x v="1"/>
    <x v="1"/>
    <x v="0"/>
    <x v="5"/>
    <n v="10.56"/>
    <n v="8"/>
    <n v="4.2240000000000002"/>
    <x v="166"/>
    <x v="61"/>
    <x v="151"/>
    <x v="0"/>
    <n v="84.48"/>
    <n v="4.7619047620000003"/>
    <n v="4.2240000000000002"/>
    <n v="7.6"/>
  </r>
  <r>
    <s v="543-82-4877"/>
    <x v="1"/>
    <x v="2"/>
    <x v="1"/>
    <x v="0"/>
    <x v="5"/>
    <n v="10.56"/>
    <n v="8"/>
    <n v="4.2240000000000002"/>
    <x v="166"/>
    <x v="61"/>
    <x v="151"/>
    <x v="0"/>
    <n v="84.48"/>
    <n v="4.7619047620000003"/>
    <n v="4.2240000000000002"/>
    <n v="7.6"/>
  </r>
  <r>
    <s v="284-57-2636"/>
    <x v="0"/>
    <x v="0"/>
    <x v="1"/>
    <x v="0"/>
    <x v="2"/>
    <n v="84.83"/>
    <n v="1"/>
    <n v="4.2415000000000003"/>
    <x v="167"/>
    <x v="9"/>
    <x v="152"/>
    <x v="0"/>
    <n v="84.83"/>
    <n v="4.7619047620000003"/>
    <n v="4.2415000000000003"/>
    <n v="8.8000000000000007"/>
  </r>
  <r>
    <s v="451-73-2711"/>
    <x v="0"/>
    <x v="1"/>
    <x v="1"/>
    <x v="0"/>
    <x v="2"/>
    <n v="84.83"/>
    <n v="1"/>
    <n v="4.2415000000000003"/>
    <x v="167"/>
    <x v="9"/>
    <x v="152"/>
    <x v="1"/>
    <n v="84.83"/>
    <n v="4.7619047620000003"/>
    <n v="4.2415000000000003"/>
    <n v="8.8000000000000007"/>
  </r>
  <r>
    <s v="892-96-7314"/>
    <x v="1"/>
    <x v="0"/>
    <x v="1"/>
    <x v="0"/>
    <x v="2"/>
    <n v="84.83"/>
    <n v="1"/>
    <n v="4.2415000000000003"/>
    <x v="167"/>
    <x v="9"/>
    <x v="152"/>
    <x v="1"/>
    <n v="84.83"/>
    <n v="4.7619047620000003"/>
    <n v="4.2415000000000003"/>
    <n v="8.8000000000000007"/>
  </r>
  <r>
    <s v="321-48-1197"/>
    <x v="0"/>
    <x v="1"/>
    <x v="1"/>
    <x v="0"/>
    <x v="2"/>
    <n v="84.83"/>
    <n v="1"/>
    <n v="4.2415000000000003"/>
    <x v="167"/>
    <x v="9"/>
    <x v="152"/>
    <x v="1"/>
    <n v="84.83"/>
    <n v="4.7619047620000003"/>
    <n v="4.2415000000000003"/>
    <n v="8.8000000000000007"/>
  </r>
  <r>
    <s v="109-13-8136"/>
    <x v="0"/>
    <x v="1"/>
    <x v="1"/>
    <x v="0"/>
    <x v="2"/>
    <n v="84.83"/>
    <n v="1"/>
    <n v="4.2415000000000003"/>
    <x v="167"/>
    <x v="9"/>
    <x v="152"/>
    <x v="1"/>
    <n v="84.83"/>
    <n v="4.7619047620000003"/>
    <n v="4.2415000000000003"/>
    <n v="8.8000000000000007"/>
  </r>
  <r>
    <s v="565-91-4567"/>
    <x v="2"/>
    <x v="1"/>
    <x v="1"/>
    <x v="0"/>
    <x v="4"/>
    <n v="10.75"/>
    <n v="8"/>
    <n v="4.3"/>
    <x v="168"/>
    <x v="54"/>
    <x v="153"/>
    <x v="0"/>
    <n v="86"/>
    <n v="4.7619047620000003"/>
    <n v="4.3"/>
    <n v="6.2"/>
  </r>
  <r>
    <s v="848-95-6252"/>
    <x v="0"/>
    <x v="1"/>
    <x v="0"/>
    <x v="1"/>
    <x v="2"/>
    <n v="86.27"/>
    <n v="1"/>
    <n v="4.3135000000000003"/>
    <x v="169"/>
    <x v="76"/>
    <x v="87"/>
    <x v="0"/>
    <n v="86.27"/>
    <n v="4.7619047620000003"/>
    <n v="4.3135000000000003"/>
    <n v="7"/>
  </r>
  <r>
    <s v="586-25-0848"/>
    <x v="1"/>
    <x v="2"/>
    <x v="1"/>
    <x v="0"/>
    <x v="0"/>
    <n v="12.34"/>
    <n v="7"/>
    <n v="4.319"/>
    <x v="170"/>
    <x v="26"/>
    <x v="154"/>
    <x v="2"/>
    <n v="86.38"/>
    <n v="4.7619047620000003"/>
    <n v="4.319"/>
    <n v="6.7"/>
  </r>
  <r>
    <s v="213-72-6612"/>
    <x v="1"/>
    <x v="2"/>
    <x v="1"/>
    <x v="0"/>
    <x v="2"/>
    <n v="43.25"/>
    <n v="2"/>
    <n v="4.3250000000000002"/>
    <x v="171"/>
    <x v="34"/>
    <x v="155"/>
    <x v="0"/>
    <n v="86.5"/>
    <n v="4.7619047620000003"/>
    <n v="4.3250000000000002"/>
    <n v="6.2"/>
  </r>
  <r>
    <s v="626-15-8344"/>
    <x v="1"/>
    <x v="2"/>
    <x v="1"/>
    <x v="0"/>
    <x v="2"/>
    <n v="43.25"/>
    <n v="2"/>
    <n v="4.3250000000000002"/>
    <x v="171"/>
    <x v="34"/>
    <x v="155"/>
    <x v="0"/>
    <n v="86.5"/>
    <n v="4.7619047620000003"/>
    <n v="4.3250000000000002"/>
    <n v="6.2"/>
  </r>
  <r>
    <s v="799-30-4841"/>
    <x v="1"/>
    <x v="0"/>
    <x v="1"/>
    <x v="0"/>
    <x v="2"/>
    <n v="43.25"/>
    <n v="2"/>
    <n v="4.3250000000000002"/>
    <x v="171"/>
    <x v="34"/>
    <x v="155"/>
    <x v="0"/>
    <n v="86.5"/>
    <n v="4.7619047620000003"/>
    <n v="4.3250000000000002"/>
    <n v="3.9"/>
  </r>
  <r>
    <s v="121-74-6421"/>
    <x v="0"/>
    <x v="0"/>
    <x v="1"/>
    <x v="0"/>
    <x v="2"/>
    <n v="43.27"/>
    <n v="2"/>
    <n v="4.327"/>
    <x v="172"/>
    <x v="66"/>
    <x v="156"/>
    <x v="1"/>
    <n v="86.54"/>
    <n v="4.7619047620000003"/>
    <n v="4.327"/>
    <n v="5.7"/>
  </r>
  <r>
    <s v="574-57-9721"/>
    <x v="0"/>
    <x v="0"/>
    <x v="1"/>
    <x v="0"/>
    <x v="2"/>
    <n v="43.27"/>
    <n v="2"/>
    <n v="4.327"/>
    <x v="172"/>
    <x v="66"/>
    <x v="156"/>
    <x v="1"/>
    <n v="86.54"/>
    <n v="4.7619047620000003"/>
    <n v="4.327"/>
    <n v="5.7"/>
  </r>
  <r>
    <s v="280-35-5823"/>
    <x v="2"/>
    <x v="1"/>
    <x v="0"/>
    <x v="0"/>
    <x v="3"/>
    <n v="86.72"/>
    <n v="1"/>
    <n v="4.3360000000000003"/>
    <x v="173"/>
    <x v="77"/>
    <x v="55"/>
    <x v="0"/>
    <n v="86.72"/>
    <n v="4.7619047620000003"/>
    <n v="4.3360000000000003"/>
    <n v="7.9"/>
  </r>
  <r>
    <s v="361-11-8624"/>
    <x v="1"/>
    <x v="1"/>
    <x v="0"/>
    <x v="0"/>
    <x v="2"/>
    <n v="86.72"/>
    <n v="1"/>
    <n v="4.3360000000000003"/>
    <x v="173"/>
    <x v="77"/>
    <x v="55"/>
    <x v="1"/>
    <n v="86.72"/>
    <n v="4.7619047620000003"/>
    <n v="4.3360000000000003"/>
    <n v="7.9"/>
  </r>
  <r>
    <s v="211-30-9270"/>
    <x v="0"/>
    <x v="0"/>
    <x v="1"/>
    <x v="0"/>
    <x v="4"/>
    <n v="17.41"/>
    <n v="5"/>
    <n v="4.3525"/>
    <x v="174"/>
    <x v="12"/>
    <x v="157"/>
    <x v="2"/>
    <n v="87.05"/>
    <n v="4.7619047620000003"/>
    <n v="4.3525"/>
    <n v="4.9000000000000004"/>
  </r>
  <r>
    <s v="147-39-7499"/>
    <x v="0"/>
    <x v="0"/>
    <x v="0"/>
    <x v="0"/>
    <x v="2"/>
    <n v="17.440000000000001"/>
    <n v="5"/>
    <n v="4.3600000000000003"/>
    <x v="175"/>
    <x v="67"/>
    <x v="158"/>
    <x v="0"/>
    <n v="87.2"/>
    <n v="4.7619047620000003"/>
    <n v="4.3600000000000003"/>
    <n v="8.1"/>
  </r>
  <r>
    <s v="450-28-2866"/>
    <x v="0"/>
    <x v="0"/>
    <x v="0"/>
    <x v="0"/>
    <x v="2"/>
    <n v="17.440000000000001"/>
    <n v="5"/>
    <n v="4.3600000000000003"/>
    <x v="175"/>
    <x v="67"/>
    <x v="158"/>
    <x v="0"/>
    <n v="87.2"/>
    <n v="4.7619047620000003"/>
    <n v="4.3600000000000003"/>
    <n v="8.1"/>
  </r>
  <r>
    <s v="775-46-9279"/>
    <x v="0"/>
    <x v="1"/>
    <x v="1"/>
    <x v="0"/>
    <x v="2"/>
    <n v="17.440000000000001"/>
    <n v="5"/>
    <n v="4.3600000000000003"/>
    <x v="175"/>
    <x v="67"/>
    <x v="158"/>
    <x v="0"/>
    <n v="87.2"/>
    <n v="4.7619047620000003"/>
    <n v="4.3600000000000003"/>
    <n v="8.1"/>
  </r>
  <r>
    <s v="832-12-2209"/>
    <x v="0"/>
    <x v="1"/>
    <x v="1"/>
    <x v="0"/>
    <x v="2"/>
    <n v="17.440000000000001"/>
    <n v="5"/>
    <n v="4.3600000000000003"/>
    <x v="175"/>
    <x v="67"/>
    <x v="158"/>
    <x v="0"/>
    <n v="87.2"/>
    <n v="4.7619047620000003"/>
    <n v="4.3600000000000003"/>
    <n v="8.1"/>
  </r>
  <r>
    <s v="848-24-9445"/>
    <x v="0"/>
    <x v="0"/>
    <x v="0"/>
    <x v="0"/>
    <x v="2"/>
    <n v="43.7"/>
    <n v="2"/>
    <n v="4.37"/>
    <x v="176"/>
    <x v="39"/>
    <x v="113"/>
    <x v="0"/>
    <n v="87.4"/>
    <n v="4.7619047620000003"/>
    <n v="4.37"/>
    <n v="4.9000000000000004"/>
  </r>
  <r>
    <s v="313-66-9943"/>
    <x v="2"/>
    <x v="1"/>
    <x v="0"/>
    <x v="1"/>
    <x v="2"/>
    <n v="29.15"/>
    <n v="3"/>
    <n v="4.3724999999999996"/>
    <x v="177"/>
    <x v="82"/>
    <x v="89"/>
    <x v="0"/>
    <n v="87.45"/>
    <n v="4.7619047620000003"/>
    <n v="4.3724999999999996"/>
    <n v="7.3"/>
  </r>
  <r>
    <s v="988-10-2997"/>
    <x v="1"/>
    <x v="1"/>
    <x v="0"/>
    <x v="0"/>
    <x v="2"/>
    <n v="29.15"/>
    <n v="3"/>
    <n v="4.3724999999999996"/>
    <x v="177"/>
    <x v="82"/>
    <x v="89"/>
    <x v="2"/>
    <n v="87.45"/>
    <n v="4.7619047620000003"/>
    <n v="4.3724999999999996"/>
    <n v="7.3"/>
  </r>
  <r>
    <s v="411-44-8362"/>
    <x v="2"/>
    <x v="1"/>
    <x v="0"/>
    <x v="1"/>
    <x v="2"/>
    <n v="29.15"/>
    <n v="3"/>
    <n v="4.3724999999999996"/>
    <x v="177"/>
    <x v="82"/>
    <x v="89"/>
    <x v="0"/>
    <n v="87.45"/>
    <n v="4.7619047620000003"/>
    <n v="4.3724999999999996"/>
    <n v="7.3"/>
  </r>
  <r>
    <s v="309-97-6732"/>
    <x v="1"/>
    <x v="2"/>
    <x v="0"/>
    <x v="0"/>
    <x v="2"/>
    <n v="87.9"/>
    <n v="1"/>
    <n v="4.3949999999999996"/>
    <x v="178"/>
    <x v="28"/>
    <x v="159"/>
    <x v="0"/>
    <n v="87.9"/>
    <n v="4.7619047620000003"/>
    <n v="4.3949999999999996"/>
    <n v="6.7"/>
  </r>
  <r>
    <s v="325-89-4209"/>
    <x v="1"/>
    <x v="1"/>
    <x v="0"/>
    <x v="0"/>
    <x v="2"/>
    <n v="87.9"/>
    <n v="1"/>
    <n v="4.3949999999999996"/>
    <x v="178"/>
    <x v="28"/>
    <x v="159"/>
    <x v="0"/>
    <n v="87.9"/>
    <n v="4.7619047620000003"/>
    <n v="4.3949999999999996"/>
    <n v="6.7"/>
  </r>
  <r>
    <s v="517-92-7395"/>
    <x v="1"/>
    <x v="2"/>
    <x v="0"/>
    <x v="0"/>
    <x v="2"/>
    <n v="87.9"/>
    <n v="1"/>
    <n v="4.3949999999999996"/>
    <x v="178"/>
    <x v="28"/>
    <x v="159"/>
    <x v="0"/>
    <n v="87.9"/>
    <n v="4.7619047620000003"/>
    <n v="4.3949999999999996"/>
    <n v="6.7"/>
  </r>
  <r>
    <s v="233-17-5428"/>
    <x v="1"/>
    <x v="1"/>
    <x v="0"/>
    <x v="0"/>
    <x v="2"/>
    <n v="87.9"/>
    <n v="1"/>
    <n v="4.3949999999999996"/>
    <x v="178"/>
    <x v="28"/>
    <x v="159"/>
    <x v="0"/>
    <n v="87.9"/>
    <n v="4.7619047620000003"/>
    <n v="4.3949999999999996"/>
    <n v="6.7"/>
  </r>
  <r>
    <s v="564-70-6199"/>
    <x v="1"/>
    <x v="2"/>
    <x v="0"/>
    <x v="0"/>
    <x v="0"/>
    <n v="22.01"/>
    <n v="4"/>
    <n v="4.4020000000000001"/>
    <x v="179"/>
    <x v="38"/>
    <x v="29"/>
    <x v="2"/>
    <n v="88.04"/>
    <n v="4.7619047620000003"/>
    <n v="4.4020000000000001"/>
    <n v="6.6"/>
  </r>
  <r>
    <s v="569-76-2760"/>
    <x v="1"/>
    <x v="1"/>
    <x v="0"/>
    <x v="1"/>
    <x v="0"/>
    <n v="22.01"/>
    <n v="4"/>
    <n v="4.4020000000000001"/>
    <x v="179"/>
    <x v="38"/>
    <x v="29"/>
    <x v="0"/>
    <n v="88.04"/>
    <n v="4.7619047620000003"/>
    <n v="4.4020000000000001"/>
    <n v="6.6"/>
  </r>
  <r>
    <s v="276-94-5781"/>
    <x v="2"/>
    <x v="1"/>
    <x v="0"/>
    <x v="1"/>
    <x v="2"/>
    <n v="17.63"/>
    <n v="5"/>
    <n v="4.4074999999999998"/>
    <x v="180"/>
    <x v="66"/>
    <x v="160"/>
    <x v="0"/>
    <n v="88.15"/>
    <n v="4.7619047620000003"/>
    <n v="4.4074999999999998"/>
    <n v="8.5"/>
  </r>
  <r>
    <s v="364-33-8584"/>
    <x v="0"/>
    <x v="1"/>
    <x v="0"/>
    <x v="1"/>
    <x v="2"/>
    <n v="17.63"/>
    <n v="5"/>
    <n v="4.4074999999999998"/>
    <x v="180"/>
    <x v="66"/>
    <x v="160"/>
    <x v="0"/>
    <n v="88.15"/>
    <n v="4.7619047620000003"/>
    <n v="4.4074999999999998"/>
    <n v="8.5"/>
  </r>
  <r>
    <s v="467-18-2169"/>
    <x v="1"/>
    <x v="1"/>
    <x v="0"/>
    <x v="1"/>
    <x v="2"/>
    <n v="17.63"/>
    <n v="5"/>
    <n v="4.4074999999999998"/>
    <x v="180"/>
    <x v="66"/>
    <x v="160"/>
    <x v="1"/>
    <n v="88.15"/>
    <n v="4.7619047620000003"/>
    <n v="4.4074999999999998"/>
    <n v="8.5"/>
  </r>
  <r>
    <s v="951-45-2481"/>
    <x v="0"/>
    <x v="1"/>
    <x v="0"/>
    <x v="1"/>
    <x v="2"/>
    <n v="17.63"/>
    <n v="5"/>
    <n v="4.4074999999999998"/>
    <x v="180"/>
    <x v="66"/>
    <x v="160"/>
    <x v="0"/>
    <n v="88.15"/>
    <n v="4.7619047620000003"/>
    <n v="4.4074999999999998"/>
    <n v="8.5"/>
  </r>
  <r>
    <s v="321-49-7382"/>
    <x v="2"/>
    <x v="1"/>
    <x v="0"/>
    <x v="0"/>
    <x v="0"/>
    <n v="88.31"/>
    <n v="1"/>
    <n v="4.4154999999999998"/>
    <x v="181"/>
    <x v="74"/>
    <x v="86"/>
    <x v="0"/>
    <n v="88.31"/>
    <n v="4.7619047620000003"/>
    <n v="4.4154999999999998"/>
    <n v="5.2"/>
  </r>
  <r>
    <s v="836-41-9935"/>
    <x v="2"/>
    <x v="1"/>
    <x v="0"/>
    <x v="0"/>
    <x v="0"/>
    <n v="88.31"/>
    <n v="1"/>
    <n v="4.4154999999999998"/>
    <x v="181"/>
    <x v="74"/>
    <x v="86"/>
    <x v="2"/>
    <n v="88.31"/>
    <n v="4.7619047620000003"/>
    <n v="4.4154999999999998"/>
    <n v="5.2"/>
  </r>
  <r>
    <s v="765-44-9132"/>
    <x v="2"/>
    <x v="1"/>
    <x v="0"/>
    <x v="0"/>
    <x v="0"/>
    <n v="88.31"/>
    <n v="1"/>
    <n v="4.4154999999999998"/>
    <x v="181"/>
    <x v="74"/>
    <x v="86"/>
    <x v="0"/>
    <n v="88.31"/>
    <n v="4.7619047620000003"/>
    <n v="4.4154999999999998"/>
    <n v="5.2"/>
  </r>
  <r>
    <s v="511-54-3087"/>
    <x v="0"/>
    <x v="1"/>
    <x v="1"/>
    <x v="0"/>
    <x v="0"/>
    <n v="88.45"/>
    <n v="1"/>
    <n v="4.4225000000000003"/>
    <x v="182"/>
    <x v="42"/>
    <x v="161"/>
    <x v="0"/>
    <n v="88.45"/>
    <n v="4.7619047620000003"/>
    <n v="4.4225000000000003"/>
    <n v="9.5"/>
  </r>
  <r>
    <s v="807-24-7298"/>
    <x v="2"/>
    <x v="1"/>
    <x v="1"/>
    <x v="0"/>
    <x v="0"/>
    <n v="88.45"/>
    <n v="1"/>
    <n v="4.4225000000000003"/>
    <x v="182"/>
    <x v="42"/>
    <x v="161"/>
    <x v="2"/>
    <n v="88.45"/>
    <n v="4.7619047620000003"/>
    <n v="4.4225000000000003"/>
    <n v="9.5"/>
  </r>
  <r>
    <s v="779-06-0012"/>
    <x v="0"/>
    <x v="1"/>
    <x v="1"/>
    <x v="1"/>
    <x v="3"/>
    <n v="88.61"/>
    <n v="1"/>
    <n v="4.4305000000000003"/>
    <x v="183"/>
    <x v="35"/>
    <x v="162"/>
    <x v="0"/>
    <n v="88.61"/>
    <n v="4.7619047620000003"/>
    <n v="4.4305000000000003"/>
    <n v="7.7"/>
  </r>
  <r>
    <s v="106-35-6779"/>
    <x v="1"/>
    <x v="2"/>
    <x v="0"/>
    <x v="0"/>
    <x v="3"/>
    <n v="44.34"/>
    <n v="2"/>
    <n v="4.4340000000000002"/>
    <x v="184"/>
    <x v="82"/>
    <x v="48"/>
    <x v="0"/>
    <n v="88.68"/>
    <n v="4.7619047620000003"/>
    <n v="4.4340000000000002"/>
    <n v="5.8"/>
  </r>
  <r>
    <s v="394-43-4238"/>
    <x v="2"/>
    <x v="1"/>
    <x v="0"/>
    <x v="0"/>
    <x v="3"/>
    <n v="17.77"/>
    <n v="5"/>
    <n v="4.4424999999999999"/>
    <x v="185"/>
    <x v="74"/>
    <x v="163"/>
    <x v="0"/>
    <n v="88.85"/>
    <n v="4.7619047620000003"/>
    <n v="4.4424999999999999"/>
    <n v="5.4"/>
  </r>
  <r>
    <s v="635-95-6223"/>
    <x v="0"/>
    <x v="1"/>
    <x v="0"/>
    <x v="0"/>
    <x v="3"/>
    <n v="17.77"/>
    <n v="5"/>
    <n v="4.4424999999999999"/>
    <x v="185"/>
    <x v="74"/>
    <x v="163"/>
    <x v="0"/>
    <n v="88.85"/>
    <n v="4.7619047620000003"/>
    <n v="4.4424999999999999"/>
    <n v="5.4"/>
  </r>
  <r>
    <s v="210-30-7976"/>
    <x v="2"/>
    <x v="1"/>
    <x v="0"/>
    <x v="1"/>
    <x v="1"/>
    <n v="22.32"/>
    <n v="4"/>
    <n v="4.4640000000000004"/>
    <x v="186"/>
    <x v="45"/>
    <x v="164"/>
    <x v="1"/>
    <n v="89.28"/>
    <n v="4.7619047620000003"/>
    <n v="4.4640000000000004"/>
    <n v="4.0999999999999996"/>
  </r>
  <r>
    <s v="247-11-2470"/>
    <x v="1"/>
    <x v="1"/>
    <x v="0"/>
    <x v="1"/>
    <x v="1"/>
    <n v="22.32"/>
    <n v="4"/>
    <n v="4.4640000000000004"/>
    <x v="186"/>
    <x v="47"/>
    <x v="165"/>
    <x v="2"/>
    <n v="89.28"/>
    <n v="4.7619047620000003"/>
    <n v="4.4640000000000004"/>
    <n v="4.4000000000000004"/>
  </r>
  <r>
    <s v="623-71-9244"/>
    <x v="1"/>
    <x v="2"/>
    <x v="1"/>
    <x v="0"/>
    <x v="1"/>
    <n v="22.32"/>
    <n v="4"/>
    <n v="4.4640000000000004"/>
    <x v="186"/>
    <x v="47"/>
    <x v="165"/>
    <x v="2"/>
    <n v="89.28"/>
    <n v="4.7619047620000003"/>
    <n v="4.4640000000000004"/>
    <n v="4.4000000000000004"/>
  </r>
  <r>
    <s v="852-17-3570"/>
    <x v="2"/>
    <x v="1"/>
    <x v="1"/>
    <x v="0"/>
    <x v="2"/>
    <n v="22.32"/>
    <n v="4"/>
    <n v="4.4640000000000004"/>
    <x v="186"/>
    <x v="45"/>
    <x v="164"/>
    <x v="1"/>
    <n v="89.28"/>
    <n v="4.7619047620000003"/>
    <n v="4.4640000000000004"/>
    <n v="4.0999999999999996"/>
  </r>
  <r>
    <s v="870-51-2623"/>
    <x v="1"/>
    <x v="0"/>
    <x v="1"/>
    <x v="0"/>
    <x v="1"/>
    <n v="22.32"/>
    <n v="4"/>
    <n v="4.4640000000000004"/>
    <x v="186"/>
    <x v="47"/>
    <x v="165"/>
    <x v="2"/>
    <n v="89.28"/>
    <n v="4.7619047620000003"/>
    <n v="4.4640000000000004"/>
    <n v="4"/>
  </r>
  <r>
    <s v="478-06-7835"/>
    <x v="1"/>
    <x v="2"/>
    <x v="1"/>
    <x v="0"/>
    <x v="1"/>
    <n v="89.69"/>
    <n v="1"/>
    <n v="4.4844999999999997"/>
    <x v="187"/>
    <x v="68"/>
    <x v="166"/>
    <x v="1"/>
    <n v="89.69"/>
    <n v="4.7619047620000003"/>
    <n v="4.4844999999999997"/>
    <n v="4.9000000000000004"/>
  </r>
  <r>
    <s v="604-70-6476"/>
    <x v="1"/>
    <x v="2"/>
    <x v="0"/>
    <x v="0"/>
    <x v="1"/>
    <n v="17.940000000000001"/>
    <n v="5"/>
    <n v="4.4850000000000003"/>
    <x v="188"/>
    <x v="27"/>
    <x v="167"/>
    <x v="1"/>
    <n v="89.7"/>
    <n v="4.7619047620000003"/>
    <n v="4.4850000000000003"/>
    <n v="6.8"/>
  </r>
  <r>
    <s v="622-70-4813"/>
    <x v="1"/>
    <x v="2"/>
    <x v="0"/>
    <x v="0"/>
    <x v="1"/>
    <n v="17.940000000000001"/>
    <n v="5"/>
    <n v="4.4850000000000003"/>
    <x v="188"/>
    <x v="27"/>
    <x v="167"/>
    <x v="1"/>
    <n v="89.7"/>
    <n v="4.7619047620000003"/>
    <n v="4.4850000000000003"/>
    <n v="4.0999999999999996"/>
  </r>
  <r>
    <s v="512-91-0811"/>
    <x v="0"/>
    <x v="0"/>
    <x v="1"/>
    <x v="0"/>
    <x v="4"/>
    <n v="89.75"/>
    <n v="1"/>
    <n v="4.4874999999999998"/>
    <x v="189"/>
    <x v="51"/>
    <x v="168"/>
    <x v="2"/>
    <n v="89.75"/>
    <n v="4.7619047620000003"/>
    <n v="4.4874999999999998"/>
    <n v="6.6"/>
  </r>
  <r>
    <s v="573-58-9734"/>
    <x v="2"/>
    <x v="1"/>
    <x v="1"/>
    <x v="0"/>
    <x v="1"/>
    <n v="30.37"/>
    <n v="3"/>
    <n v="4.5555000000000003"/>
    <x v="190"/>
    <x v="70"/>
    <x v="169"/>
    <x v="1"/>
    <n v="91.11"/>
    <n v="4.7619047620000003"/>
    <n v="4.5555000000000003"/>
    <n v="5.0999999999999996"/>
  </r>
  <r>
    <s v="528-14-9470"/>
    <x v="1"/>
    <x v="1"/>
    <x v="0"/>
    <x v="0"/>
    <x v="4"/>
    <n v="91.3"/>
    <n v="1"/>
    <n v="4.5650000000000004"/>
    <x v="191"/>
    <x v="83"/>
    <x v="28"/>
    <x v="0"/>
    <n v="91.3"/>
    <n v="4.7619047620000003"/>
    <n v="4.5650000000000004"/>
    <n v="9.1999999999999993"/>
  </r>
  <r>
    <s v="539-59-6829"/>
    <x v="2"/>
    <x v="1"/>
    <x v="0"/>
    <x v="0"/>
    <x v="1"/>
    <n v="91.35"/>
    <n v="1"/>
    <n v="4.5674999999999999"/>
    <x v="192"/>
    <x v="59"/>
    <x v="170"/>
    <x v="0"/>
    <n v="91.35"/>
    <n v="4.7619047620000003"/>
    <n v="4.5674999999999999"/>
    <n v="6.8"/>
  </r>
  <r>
    <s v="598-06-7312"/>
    <x v="0"/>
    <x v="1"/>
    <x v="0"/>
    <x v="0"/>
    <x v="1"/>
    <n v="91.35"/>
    <n v="1"/>
    <n v="4.5674999999999999"/>
    <x v="192"/>
    <x v="59"/>
    <x v="170"/>
    <x v="0"/>
    <n v="91.35"/>
    <n v="4.7619047620000003"/>
    <n v="4.5674999999999999"/>
    <n v="6.8"/>
  </r>
  <r>
    <s v="934-55-7289"/>
    <x v="0"/>
    <x v="1"/>
    <x v="0"/>
    <x v="0"/>
    <x v="1"/>
    <n v="91.35"/>
    <n v="1"/>
    <n v="4.5674999999999999"/>
    <x v="192"/>
    <x v="59"/>
    <x v="170"/>
    <x v="0"/>
    <n v="91.35"/>
    <n v="4.7619047620000003"/>
    <n v="4.5674999999999999"/>
    <n v="4.2"/>
  </r>
  <r>
    <s v="372-94-8041"/>
    <x v="1"/>
    <x v="1"/>
    <x v="1"/>
    <x v="0"/>
    <x v="4"/>
    <n v="15.26"/>
    <n v="6"/>
    <n v="4.5780000000000003"/>
    <x v="193"/>
    <x v="74"/>
    <x v="113"/>
    <x v="0"/>
    <n v="91.56"/>
    <n v="4.7619047620000003"/>
    <n v="4.5780000000000003"/>
    <n v="9.8000000000000007"/>
  </r>
  <r>
    <s v="137-20-3825"/>
    <x v="0"/>
    <x v="1"/>
    <x v="1"/>
    <x v="0"/>
    <x v="2"/>
    <n v="15.26"/>
    <n v="6"/>
    <n v="4.5780000000000003"/>
    <x v="193"/>
    <x v="74"/>
    <x v="113"/>
    <x v="0"/>
    <n v="91.56"/>
    <n v="4.7619047620000003"/>
    <n v="4.5780000000000003"/>
    <n v="9.8000000000000007"/>
  </r>
  <r>
    <s v="436-54-4512"/>
    <x v="0"/>
    <x v="2"/>
    <x v="0"/>
    <x v="1"/>
    <x v="2"/>
    <n v="91.61"/>
    <n v="1"/>
    <n v="4.5804999999999998"/>
    <x v="194"/>
    <x v="34"/>
    <x v="26"/>
    <x v="0"/>
    <n v="91.61"/>
    <n v="4.7619047620000003"/>
    <n v="4.5804999999999998"/>
    <n v="9.8000000000000007"/>
  </r>
  <r>
    <s v="659-43-7071"/>
    <x v="1"/>
    <x v="2"/>
    <x v="0"/>
    <x v="1"/>
    <x v="2"/>
    <n v="91.61"/>
    <n v="1"/>
    <n v="4.5804999999999998"/>
    <x v="194"/>
    <x v="34"/>
    <x v="26"/>
    <x v="0"/>
    <n v="91.61"/>
    <n v="4.7619047620000003"/>
    <n v="4.5804999999999998"/>
    <n v="9.8000000000000007"/>
  </r>
  <r>
    <s v="318-20-6575"/>
    <x v="0"/>
    <x v="2"/>
    <x v="1"/>
    <x v="1"/>
    <x v="2"/>
    <n v="91.61"/>
    <n v="1"/>
    <n v="4.5804999999999998"/>
    <x v="194"/>
    <x v="34"/>
    <x v="26"/>
    <x v="0"/>
    <n v="91.61"/>
    <n v="4.7619047620000003"/>
    <n v="4.5804999999999998"/>
    <n v="9.8000000000000007"/>
  </r>
  <r>
    <s v="752-82-1396"/>
    <x v="1"/>
    <x v="0"/>
    <x v="0"/>
    <x v="1"/>
    <x v="2"/>
    <n v="91.61"/>
    <n v="1"/>
    <n v="4.5804999999999998"/>
    <x v="194"/>
    <x v="34"/>
    <x v="26"/>
    <x v="0"/>
    <n v="91.61"/>
    <n v="4.7619047620000003"/>
    <n v="4.5804999999999998"/>
    <n v="4.3"/>
  </r>
  <r>
    <s v="256-58-3609"/>
    <x v="0"/>
    <x v="0"/>
    <x v="0"/>
    <x v="0"/>
    <x v="1"/>
    <n v="91.98"/>
    <n v="1"/>
    <n v="4.5990000000000002"/>
    <x v="195"/>
    <x v="50"/>
    <x v="127"/>
    <x v="0"/>
    <n v="91.98"/>
    <n v="4.7619047620000003"/>
    <n v="4.5990000000000002"/>
    <n v="9.8000000000000007"/>
  </r>
  <r>
    <s v="460-35-4390"/>
    <x v="0"/>
    <x v="2"/>
    <x v="1"/>
    <x v="0"/>
    <x v="3"/>
    <n v="30.68"/>
    <n v="3"/>
    <n v="4.6020000000000003"/>
    <x v="196"/>
    <x v="81"/>
    <x v="171"/>
    <x v="1"/>
    <n v="92.04"/>
    <n v="4.7619047620000003"/>
    <n v="4.6020000000000003"/>
    <n v="9.1"/>
  </r>
  <r>
    <s v="359-94-5395"/>
    <x v="2"/>
    <x v="1"/>
    <x v="1"/>
    <x v="0"/>
    <x v="4"/>
    <n v="92.78"/>
    <n v="1"/>
    <n v="4.6390000000000002"/>
    <x v="197"/>
    <x v="54"/>
    <x v="172"/>
    <x v="0"/>
    <n v="92.78"/>
    <n v="4.7619047620000003"/>
    <n v="4.6390000000000002"/>
    <n v="9.8000000000000007"/>
  </r>
  <r>
    <s v="205-66-5279"/>
    <x v="0"/>
    <x v="1"/>
    <x v="1"/>
    <x v="0"/>
    <x v="2"/>
    <n v="92.78"/>
    <n v="1"/>
    <n v="4.6390000000000002"/>
    <x v="197"/>
    <x v="54"/>
    <x v="172"/>
    <x v="0"/>
    <n v="92.78"/>
    <n v="4.7619047620000003"/>
    <n v="4.6390000000000002"/>
    <n v="9.8000000000000007"/>
  </r>
  <r>
    <s v="737-88-5876"/>
    <x v="1"/>
    <x v="1"/>
    <x v="0"/>
    <x v="0"/>
    <x v="3"/>
    <n v="23.29"/>
    <n v="4"/>
    <n v="4.6580000000000004"/>
    <x v="198"/>
    <x v="7"/>
    <x v="173"/>
    <x v="0"/>
    <n v="93.16"/>
    <n v="4.7619047620000003"/>
    <n v="4.6580000000000004"/>
    <n v="5.9"/>
  </r>
  <r>
    <s v="697-91-8479"/>
    <x v="1"/>
    <x v="2"/>
    <x v="1"/>
    <x v="0"/>
    <x v="5"/>
    <n v="46.61"/>
    <n v="2"/>
    <n v="4.6609999999999996"/>
    <x v="199"/>
    <x v="55"/>
    <x v="101"/>
    <x v="2"/>
    <n v="93.22"/>
    <n v="4.7619047620000003"/>
    <n v="4.6609999999999996"/>
    <n v="6.6"/>
  </r>
  <r>
    <s v="702-72-0487"/>
    <x v="1"/>
    <x v="1"/>
    <x v="1"/>
    <x v="1"/>
    <x v="5"/>
    <n v="46.61"/>
    <n v="2"/>
    <n v="4.6609999999999996"/>
    <x v="199"/>
    <x v="55"/>
    <x v="101"/>
    <x v="2"/>
    <n v="93.22"/>
    <n v="4.7619047620000003"/>
    <n v="4.6609999999999996"/>
    <n v="6.6"/>
  </r>
  <r>
    <s v="267-39-8791"/>
    <x v="2"/>
    <x v="1"/>
    <x v="0"/>
    <x v="0"/>
    <x v="2"/>
    <n v="23.34"/>
    <n v="4"/>
    <n v="4.6680000000000001"/>
    <x v="200"/>
    <x v="4"/>
    <x v="174"/>
    <x v="1"/>
    <n v="93.36"/>
    <n v="4.7619047620000003"/>
    <n v="4.6680000000000001"/>
    <n v="7.4"/>
  </r>
  <r>
    <s v="434-35-9162"/>
    <x v="2"/>
    <x v="1"/>
    <x v="0"/>
    <x v="0"/>
    <x v="2"/>
    <n v="23.34"/>
    <n v="4"/>
    <n v="4.6680000000000001"/>
    <x v="200"/>
    <x v="4"/>
    <x v="174"/>
    <x v="0"/>
    <n v="93.36"/>
    <n v="4.7619047620000003"/>
    <n v="4.6680000000000001"/>
    <n v="7.4"/>
  </r>
  <r>
    <s v="448-51-3375"/>
    <x v="0"/>
    <x v="1"/>
    <x v="0"/>
    <x v="0"/>
    <x v="2"/>
    <n v="23.34"/>
    <n v="4"/>
    <n v="4.6680000000000001"/>
    <x v="200"/>
    <x v="4"/>
    <x v="174"/>
    <x v="0"/>
    <n v="93.36"/>
    <n v="4.7619047620000003"/>
    <n v="4.6680000000000001"/>
    <n v="7.4"/>
  </r>
  <r>
    <s v="388-63-5685"/>
    <x v="2"/>
    <x v="1"/>
    <x v="1"/>
    <x v="0"/>
    <x v="0"/>
    <n v="93.38"/>
    <n v="1"/>
    <n v="4.6689999999999996"/>
    <x v="201"/>
    <x v="43"/>
    <x v="175"/>
    <x v="0"/>
    <n v="93.38"/>
    <n v="4.7619047620000003"/>
    <n v="4.6689999999999996"/>
    <n v="9.6"/>
  </r>
  <r>
    <s v="875-31-8302"/>
    <x v="2"/>
    <x v="1"/>
    <x v="1"/>
    <x v="0"/>
    <x v="2"/>
    <n v="93.38"/>
    <n v="1"/>
    <n v="4.6689999999999996"/>
    <x v="201"/>
    <x v="43"/>
    <x v="175"/>
    <x v="0"/>
    <n v="93.38"/>
    <n v="4.7619047620000003"/>
    <n v="4.6689999999999996"/>
    <n v="9.6"/>
  </r>
  <r>
    <s v="912-76-6773"/>
    <x v="0"/>
    <x v="1"/>
    <x v="1"/>
    <x v="0"/>
    <x v="0"/>
    <n v="93.38"/>
    <n v="1"/>
    <n v="4.6689999999999996"/>
    <x v="201"/>
    <x v="43"/>
    <x v="175"/>
    <x v="0"/>
    <n v="93.38"/>
    <n v="4.7619047620000003"/>
    <n v="4.6689999999999996"/>
    <n v="9.6"/>
  </r>
  <r>
    <s v="182-69-8360"/>
    <x v="0"/>
    <x v="1"/>
    <x v="1"/>
    <x v="1"/>
    <x v="5"/>
    <n v="23.65"/>
    <n v="4"/>
    <n v="4.7300000000000004"/>
    <x v="202"/>
    <x v="15"/>
    <x v="176"/>
    <x v="2"/>
    <n v="94.6"/>
    <n v="4.7619047620000003"/>
    <n v="4.7300000000000004"/>
    <n v="4"/>
  </r>
  <r>
    <s v="803-71-7215"/>
    <x v="2"/>
    <x v="1"/>
    <x v="1"/>
    <x v="0"/>
    <x v="5"/>
    <n v="23.65"/>
    <n v="4"/>
    <n v="4.7300000000000004"/>
    <x v="202"/>
    <x v="15"/>
    <x v="176"/>
    <x v="2"/>
    <n v="94.6"/>
    <n v="4.7619047620000003"/>
    <n v="4.7300000000000004"/>
    <n v="4"/>
  </r>
  <r>
    <s v="343-75-9322"/>
    <x v="2"/>
    <x v="1"/>
    <x v="0"/>
    <x v="1"/>
    <x v="0"/>
    <n v="11.85"/>
    <n v="8"/>
    <n v="4.74"/>
    <x v="203"/>
    <x v="62"/>
    <x v="177"/>
    <x v="0"/>
    <n v="94.8"/>
    <n v="4.7619047620000003"/>
    <n v="4.74"/>
    <n v="4.0999999999999996"/>
  </r>
  <r>
    <s v="784-36-2391"/>
    <x v="2"/>
    <x v="1"/>
    <x v="0"/>
    <x v="0"/>
    <x v="0"/>
    <n v="11.85"/>
    <n v="8"/>
    <n v="4.74"/>
    <x v="203"/>
    <x v="62"/>
    <x v="177"/>
    <x v="0"/>
    <n v="94.8"/>
    <n v="4.7619047620000003"/>
    <n v="4.74"/>
    <n v="4.0999999999999996"/>
  </r>
  <r>
    <s v="624-14-3272"/>
    <x v="2"/>
    <x v="1"/>
    <x v="0"/>
    <x v="1"/>
    <x v="2"/>
    <n v="11.85"/>
    <n v="8"/>
    <n v="4.74"/>
    <x v="203"/>
    <x v="62"/>
    <x v="177"/>
    <x v="0"/>
    <n v="94.8"/>
    <n v="4.7619047620000003"/>
    <n v="4.74"/>
    <n v="4.0999999999999996"/>
  </r>
  <r>
    <s v="290-68-2984"/>
    <x v="1"/>
    <x v="1"/>
    <x v="1"/>
    <x v="0"/>
    <x v="3"/>
    <n v="23.75"/>
    <n v="4"/>
    <n v="4.75"/>
    <x v="204"/>
    <x v="29"/>
    <x v="178"/>
    <x v="0"/>
    <n v="95"/>
    <n v="4.7619047620000003"/>
    <n v="4.75"/>
    <n v="5.2"/>
  </r>
  <r>
    <s v="882-91-3149"/>
    <x v="1"/>
    <x v="1"/>
    <x v="1"/>
    <x v="0"/>
    <x v="3"/>
    <n v="23.75"/>
    <n v="4"/>
    <n v="4.75"/>
    <x v="204"/>
    <x v="29"/>
    <x v="178"/>
    <x v="1"/>
    <n v="95"/>
    <n v="4.7619047620000003"/>
    <n v="4.75"/>
    <n v="5.2"/>
  </r>
  <r>
    <s v="239-17-1505"/>
    <x v="1"/>
    <x v="2"/>
    <x v="1"/>
    <x v="0"/>
    <x v="5"/>
    <n v="95.15"/>
    <n v="1"/>
    <n v="4.7575000000000003"/>
    <x v="205"/>
    <x v="10"/>
    <x v="179"/>
    <x v="0"/>
    <n v="95.15"/>
    <n v="4.7619047620000003"/>
    <n v="4.7575000000000003"/>
    <n v="6"/>
  </r>
  <r>
    <s v="674-56-6360"/>
    <x v="1"/>
    <x v="1"/>
    <x v="1"/>
    <x v="0"/>
    <x v="5"/>
    <n v="95.15"/>
    <n v="1"/>
    <n v="4.7575000000000003"/>
    <x v="205"/>
    <x v="10"/>
    <x v="179"/>
    <x v="0"/>
    <n v="95.15"/>
    <n v="4.7619047620000003"/>
    <n v="4.7575000000000003"/>
    <n v="6"/>
  </r>
  <r>
    <s v="795-12-7423"/>
    <x v="1"/>
    <x v="1"/>
    <x v="1"/>
    <x v="0"/>
    <x v="5"/>
    <n v="95.15"/>
    <n v="1"/>
    <n v="4.7575000000000003"/>
    <x v="205"/>
    <x v="10"/>
    <x v="179"/>
    <x v="0"/>
    <n v="95.15"/>
    <n v="4.7619047620000003"/>
    <n v="4.7575000000000003"/>
    <n v="4.4000000000000004"/>
  </r>
  <r>
    <s v="186-43-8965"/>
    <x v="1"/>
    <x v="1"/>
    <x v="0"/>
    <x v="1"/>
    <x v="3"/>
    <n v="47.68"/>
    <n v="2"/>
    <n v="4.7679999999999998"/>
    <x v="206"/>
    <x v="49"/>
    <x v="180"/>
    <x v="0"/>
    <n v="95.36"/>
    <n v="4.7619047620000003"/>
    <n v="4.7679999999999998"/>
    <n v="4.0999999999999996"/>
  </r>
  <r>
    <s v="602-80-9671"/>
    <x v="0"/>
    <x v="0"/>
    <x v="0"/>
    <x v="1"/>
    <x v="3"/>
    <n v="15.95"/>
    <n v="6"/>
    <n v="4.7850000000000001"/>
    <x v="207"/>
    <x v="14"/>
    <x v="114"/>
    <x v="0"/>
    <n v="95.7"/>
    <n v="4.7619047620000003"/>
    <n v="4.7850000000000001"/>
    <n v="5.0999999999999996"/>
  </r>
  <r>
    <s v="576-53-9588"/>
    <x v="0"/>
    <x v="0"/>
    <x v="0"/>
    <x v="1"/>
    <x v="3"/>
    <n v="15.95"/>
    <n v="6"/>
    <n v="4.7850000000000001"/>
    <x v="207"/>
    <x v="14"/>
    <x v="114"/>
    <x v="0"/>
    <n v="95.7"/>
    <n v="4.7619047620000003"/>
    <n v="4.7850000000000001"/>
    <n v="4.5"/>
  </r>
  <r>
    <s v="268-03-6164"/>
    <x v="0"/>
    <x v="1"/>
    <x v="1"/>
    <x v="0"/>
    <x v="4"/>
    <n v="96.11"/>
    <n v="1"/>
    <n v="4.8055000000000003"/>
    <x v="208"/>
    <x v="6"/>
    <x v="181"/>
    <x v="1"/>
    <n v="96.11"/>
    <n v="4.7619047620000003"/>
    <n v="4.8055000000000003"/>
    <n v="7.8"/>
  </r>
  <r>
    <s v="277-66-9040"/>
    <x v="2"/>
    <x v="1"/>
    <x v="0"/>
    <x v="0"/>
    <x v="5"/>
    <n v="12.1"/>
    <n v="8"/>
    <n v="4.84"/>
    <x v="209"/>
    <x v="35"/>
    <x v="182"/>
    <x v="0"/>
    <n v="96.8"/>
    <n v="4.7619047620000003"/>
    <n v="4.84"/>
    <n v="8.6"/>
  </r>
  <r>
    <s v="761-49-0439"/>
    <x v="2"/>
    <x v="1"/>
    <x v="0"/>
    <x v="1"/>
    <x v="5"/>
    <n v="12.1"/>
    <n v="8"/>
    <n v="4.84"/>
    <x v="209"/>
    <x v="35"/>
    <x v="182"/>
    <x v="1"/>
    <n v="96.8"/>
    <n v="4.7619047620000003"/>
    <n v="4.84"/>
    <n v="8.6"/>
  </r>
  <r>
    <s v="515-19-6348"/>
    <x v="1"/>
    <x v="1"/>
    <x v="0"/>
    <x v="0"/>
    <x v="2"/>
    <n v="12.1"/>
    <n v="8"/>
    <n v="4.84"/>
    <x v="209"/>
    <x v="35"/>
    <x v="182"/>
    <x v="1"/>
    <n v="96.8"/>
    <n v="4.7619047620000003"/>
    <n v="4.84"/>
    <n v="8.6"/>
  </r>
  <r>
    <s v="176-64-7711"/>
    <x v="0"/>
    <x v="1"/>
    <x v="1"/>
    <x v="0"/>
    <x v="2"/>
    <n v="32.32"/>
    <n v="3"/>
    <n v="4.8479999999999999"/>
    <x v="210"/>
    <x v="82"/>
    <x v="183"/>
    <x v="2"/>
    <n v="96.96"/>
    <n v="4.7619047620000003"/>
    <n v="4.8479999999999999"/>
    <n v="4.3"/>
  </r>
  <r>
    <s v="389-79-9875"/>
    <x v="2"/>
    <x v="1"/>
    <x v="1"/>
    <x v="0"/>
    <x v="2"/>
    <n v="32.32"/>
    <n v="3"/>
    <n v="4.8479999999999999"/>
    <x v="210"/>
    <x v="82"/>
    <x v="183"/>
    <x v="0"/>
    <n v="96.96"/>
    <n v="4.7619047620000003"/>
    <n v="4.8479999999999999"/>
    <n v="4.3"/>
  </r>
  <r>
    <s v="658-77-5791"/>
    <x v="0"/>
    <x v="1"/>
    <x v="1"/>
    <x v="0"/>
    <x v="2"/>
    <n v="32.32"/>
    <n v="3"/>
    <n v="4.8479999999999999"/>
    <x v="210"/>
    <x v="82"/>
    <x v="183"/>
    <x v="0"/>
    <n v="96.96"/>
    <n v="4.7619047620000003"/>
    <n v="4.8479999999999999"/>
    <n v="4.3"/>
  </r>
  <r>
    <s v="128-80-0512"/>
    <x v="1"/>
    <x v="2"/>
    <x v="1"/>
    <x v="0"/>
    <x v="5"/>
    <n v="97.16"/>
    <n v="1"/>
    <n v="4.8579999999999997"/>
    <x v="211"/>
    <x v="66"/>
    <x v="184"/>
    <x v="1"/>
    <n v="97.16"/>
    <n v="4.7619047620000003"/>
    <n v="4.8579999999999997"/>
    <n v="7.2"/>
  </r>
  <r>
    <s v="594-34-4444"/>
    <x v="1"/>
    <x v="2"/>
    <x v="1"/>
    <x v="0"/>
    <x v="5"/>
    <n v="97.16"/>
    <n v="1"/>
    <n v="4.8579999999999997"/>
    <x v="211"/>
    <x v="66"/>
    <x v="184"/>
    <x v="1"/>
    <n v="97.16"/>
    <n v="4.7619047620000003"/>
    <n v="4.8579999999999997"/>
    <n v="7.2"/>
  </r>
  <r>
    <s v="137-74-8729"/>
    <x v="0"/>
    <x v="1"/>
    <x v="1"/>
    <x v="1"/>
    <x v="1"/>
    <n v="12.19"/>
    <n v="8"/>
    <n v="4.8760000000000003"/>
    <x v="212"/>
    <x v="57"/>
    <x v="44"/>
    <x v="1"/>
    <n v="97.52"/>
    <n v="4.7619047620000003"/>
    <n v="4.8760000000000003"/>
    <n v="6.8"/>
  </r>
  <r>
    <s v="643-38-7867"/>
    <x v="0"/>
    <x v="2"/>
    <x v="1"/>
    <x v="0"/>
    <x v="3"/>
    <n v="97.94"/>
    <n v="1"/>
    <n v="4.8970000000000002"/>
    <x v="213"/>
    <x v="33"/>
    <x v="185"/>
    <x v="1"/>
    <n v="97.94"/>
    <n v="4.7619047620000003"/>
    <n v="4.8970000000000002"/>
    <n v="6.9"/>
  </r>
  <r>
    <s v="786-74-9924"/>
    <x v="0"/>
    <x v="0"/>
    <x v="1"/>
    <x v="0"/>
    <x v="3"/>
    <n v="97.94"/>
    <n v="1"/>
    <n v="4.8970000000000002"/>
    <x v="213"/>
    <x v="33"/>
    <x v="185"/>
    <x v="1"/>
    <n v="97.94"/>
    <n v="4.7619047620000003"/>
    <n v="4.8970000000000002"/>
    <n v="4.5999999999999996"/>
  </r>
  <r>
    <s v="215-12-3210"/>
    <x v="2"/>
    <x v="1"/>
    <x v="0"/>
    <x v="0"/>
    <x v="0"/>
    <n v="98.13"/>
    <n v="1"/>
    <n v="4.9065000000000003"/>
    <x v="214"/>
    <x v="69"/>
    <x v="186"/>
    <x v="0"/>
    <n v="98.13"/>
    <n v="4.7619047620000003"/>
    <n v="4.9065000000000003"/>
    <n v="8.9"/>
  </r>
  <r>
    <s v="401-18-8016"/>
    <x v="0"/>
    <x v="1"/>
    <x v="0"/>
    <x v="1"/>
    <x v="0"/>
    <n v="98.13"/>
    <n v="1"/>
    <n v="4.9065000000000003"/>
    <x v="214"/>
    <x v="69"/>
    <x v="186"/>
    <x v="0"/>
    <n v="98.13"/>
    <n v="4.7619047620000003"/>
    <n v="4.9065000000000003"/>
    <n v="8.9"/>
  </r>
  <r>
    <s v="907-89-1865"/>
    <x v="0"/>
    <x v="1"/>
    <x v="0"/>
    <x v="0"/>
    <x v="0"/>
    <n v="98.13"/>
    <n v="1"/>
    <n v="4.9065000000000003"/>
    <x v="214"/>
    <x v="69"/>
    <x v="186"/>
    <x v="0"/>
    <n v="98.13"/>
    <n v="4.7619047620000003"/>
    <n v="4.9065000000000003"/>
    <n v="8.9"/>
  </r>
  <r>
    <s v="241-96-5076"/>
    <x v="0"/>
    <x v="1"/>
    <x v="0"/>
    <x v="1"/>
    <x v="3"/>
    <n v="49.1"/>
    <n v="2"/>
    <n v="4.91"/>
    <x v="215"/>
    <x v="3"/>
    <x v="187"/>
    <x v="2"/>
    <n v="98.2"/>
    <n v="4.7619047620000003"/>
    <n v="4.91"/>
    <n v="6.4"/>
  </r>
  <r>
    <s v="181-82-6255"/>
    <x v="2"/>
    <x v="1"/>
    <x v="1"/>
    <x v="1"/>
    <x v="3"/>
    <n v="16.37"/>
    <n v="6"/>
    <n v="4.9109999999999996"/>
    <x v="216"/>
    <x v="13"/>
    <x v="188"/>
    <x v="0"/>
    <n v="98.22"/>
    <n v="4.7619047620000003"/>
    <n v="4.9109999999999996"/>
    <n v="7"/>
  </r>
  <r>
    <s v="529-23-6447"/>
    <x v="1"/>
    <x v="2"/>
    <x v="1"/>
    <x v="0"/>
    <x v="2"/>
    <n v="32.9"/>
    <n v="3"/>
    <n v="4.9349999999999996"/>
    <x v="217"/>
    <x v="58"/>
    <x v="189"/>
    <x v="2"/>
    <n v="98.7"/>
    <n v="4.7619047620000003"/>
    <n v="4.9349999999999996"/>
    <n v="9.1"/>
  </r>
  <r>
    <s v="634-97-8956"/>
    <x v="1"/>
    <x v="1"/>
    <x v="1"/>
    <x v="0"/>
    <x v="2"/>
    <n v="32.9"/>
    <n v="3"/>
    <n v="4.9349999999999996"/>
    <x v="217"/>
    <x v="58"/>
    <x v="189"/>
    <x v="2"/>
    <n v="98.7"/>
    <n v="4.7619047620000003"/>
    <n v="4.9349999999999996"/>
    <n v="9.1"/>
  </r>
  <r>
    <s v="528-94-8156"/>
    <x v="1"/>
    <x v="0"/>
    <x v="1"/>
    <x v="0"/>
    <x v="2"/>
    <n v="32.9"/>
    <n v="3"/>
    <n v="4.9349999999999996"/>
    <x v="217"/>
    <x v="58"/>
    <x v="189"/>
    <x v="2"/>
    <n v="98.7"/>
    <n v="4.7619047620000003"/>
    <n v="4.9349999999999996"/>
    <n v="4.7"/>
  </r>
  <r>
    <s v="233-34-0817"/>
    <x v="0"/>
    <x v="0"/>
    <x v="0"/>
    <x v="1"/>
    <x v="5"/>
    <n v="98.84"/>
    <n v="1"/>
    <n v="4.9420000000000002"/>
    <x v="218"/>
    <x v="74"/>
    <x v="64"/>
    <x v="0"/>
    <n v="98.84"/>
    <n v="4.7619047620000003"/>
    <n v="4.9420000000000002"/>
    <n v="8.4"/>
  </r>
  <r>
    <s v="439-59-1277"/>
    <x v="0"/>
    <x v="0"/>
    <x v="0"/>
    <x v="0"/>
    <x v="5"/>
    <n v="98.84"/>
    <n v="1"/>
    <n v="4.9420000000000002"/>
    <x v="218"/>
    <x v="74"/>
    <x v="64"/>
    <x v="0"/>
    <n v="98.84"/>
    <n v="4.7619047620000003"/>
    <n v="4.9420000000000002"/>
    <n v="8.4"/>
  </r>
  <r>
    <s v="188-29-6582"/>
    <x v="0"/>
    <x v="0"/>
    <x v="1"/>
    <x v="0"/>
    <x v="5"/>
    <n v="98.84"/>
    <n v="1"/>
    <n v="4.9420000000000002"/>
    <x v="218"/>
    <x v="74"/>
    <x v="64"/>
    <x v="0"/>
    <n v="98.84"/>
    <n v="4.7619047620000003"/>
    <n v="4.9420000000000002"/>
    <n v="8.4"/>
  </r>
  <r>
    <s v="214-17-6927"/>
    <x v="0"/>
    <x v="0"/>
    <x v="1"/>
    <x v="0"/>
    <x v="2"/>
    <n v="16.48"/>
    <n v="6"/>
    <n v="4.944"/>
    <x v="219"/>
    <x v="0"/>
    <x v="190"/>
    <x v="1"/>
    <n v="98.88"/>
    <n v="4.7619047620000003"/>
    <n v="4.944"/>
    <n v="9.9"/>
  </r>
  <r>
    <s v="396-45-1109"/>
    <x v="0"/>
    <x v="0"/>
    <x v="1"/>
    <x v="1"/>
    <x v="2"/>
    <n v="16.48"/>
    <n v="6"/>
    <n v="4.944"/>
    <x v="219"/>
    <x v="0"/>
    <x v="190"/>
    <x v="0"/>
    <n v="98.88"/>
    <n v="4.7619047620000003"/>
    <n v="4.944"/>
    <n v="9.9"/>
  </r>
  <r>
    <s v="341-71-4053"/>
    <x v="0"/>
    <x v="0"/>
    <x v="1"/>
    <x v="0"/>
    <x v="2"/>
    <n v="16.48"/>
    <n v="6"/>
    <n v="4.944"/>
    <x v="219"/>
    <x v="0"/>
    <x v="190"/>
    <x v="0"/>
    <n v="98.88"/>
    <n v="4.7619047620000003"/>
    <n v="4.944"/>
    <n v="9.9"/>
  </r>
  <r>
    <s v="250-81-7186"/>
    <x v="0"/>
    <x v="0"/>
    <x v="1"/>
    <x v="1"/>
    <x v="5"/>
    <n v="99.69"/>
    <n v="1"/>
    <n v="4.9844999999999997"/>
    <x v="220"/>
    <x v="46"/>
    <x v="191"/>
    <x v="2"/>
    <n v="99.69"/>
    <n v="4.7619047620000003"/>
    <n v="4.9844999999999997"/>
    <n v="8"/>
  </r>
  <r>
    <s v="432-60-5664"/>
    <x v="0"/>
    <x v="0"/>
    <x v="1"/>
    <x v="0"/>
    <x v="5"/>
    <n v="99.69"/>
    <n v="1"/>
    <n v="4.9844999999999997"/>
    <x v="220"/>
    <x v="46"/>
    <x v="191"/>
    <x v="0"/>
    <n v="99.69"/>
    <n v="4.7619047620000003"/>
    <n v="4.9844999999999997"/>
    <n v="8"/>
  </r>
  <r>
    <s v="534-79-2056"/>
    <x v="0"/>
    <x v="0"/>
    <x v="1"/>
    <x v="0"/>
    <x v="5"/>
    <n v="99.69"/>
    <n v="1"/>
    <n v="4.9844999999999997"/>
    <x v="220"/>
    <x v="46"/>
    <x v="191"/>
    <x v="0"/>
    <n v="99.69"/>
    <n v="4.7619047620000003"/>
    <n v="4.9844999999999997"/>
    <n v="8"/>
  </r>
  <r>
    <s v="883-69-1285"/>
    <x v="2"/>
    <x v="1"/>
    <x v="0"/>
    <x v="0"/>
    <x v="2"/>
    <n v="49.92"/>
    <n v="2"/>
    <n v="4.992"/>
    <x v="221"/>
    <x v="37"/>
    <x v="192"/>
    <x v="0"/>
    <n v="99.84"/>
    <n v="4.7619047620000003"/>
    <n v="4.992"/>
    <n v="7"/>
  </r>
  <r>
    <s v="176-78-1170"/>
    <x v="0"/>
    <x v="1"/>
    <x v="0"/>
    <x v="0"/>
    <x v="4"/>
    <n v="33.81"/>
    <n v="3"/>
    <n v="5.0715000000000003"/>
    <x v="222"/>
    <x v="1"/>
    <x v="193"/>
    <x v="0"/>
    <n v="101.43"/>
    <n v="4.7619047620000003"/>
    <n v="5.0715000000000003"/>
    <n v="7.3"/>
  </r>
  <r>
    <s v="152-03-4217"/>
    <x v="2"/>
    <x v="1"/>
    <x v="1"/>
    <x v="1"/>
    <x v="3"/>
    <n v="11.28"/>
    <n v="9"/>
    <n v="5.0759999999999996"/>
    <x v="223"/>
    <x v="16"/>
    <x v="192"/>
    <x v="0"/>
    <n v="101.52"/>
    <n v="4.7619047620000003"/>
    <n v="5.0759999999999996"/>
    <n v="4.3"/>
  </r>
  <r>
    <s v="756-01-7507"/>
    <x v="0"/>
    <x v="0"/>
    <x v="1"/>
    <x v="0"/>
    <x v="4"/>
    <n v="20.38"/>
    <n v="5"/>
    <n v="5.0949999999999998"/>
    <x v="224"/>
    <x v="81"/>
    <x v="194"/>
    <x v="0"/>
    <n v="101.9"/>
    <n v="4.7619047620000003"/>
    <n v="5.0949999999999998"/>
    <n v="6"/>
  </r>
  <r>
    <s v="529-56-3974"/>
    <x v="2"/>
    <x v="1"/>
    <x v="0"/>
    <x v="0"/>
    <x v="5"/>
    <n v="25.51"/>
    <n v="4"/>
    <n v="5.1020000000000003"/>
    <x v="225"/>
    <x v="8"/>
    <x v="195"/>
    <x v="0"/>
    <n v="102.04"/>
    <n v="4.7619047620000003"/>
    <n v="5.1020000000000003"/>
    <n v="6.8"/>
  </r>
  <r>
    <s v="550-12-0305"/>
    <x v="2"/>
    <x v="1"/>
    <x v="0"/>
    <x v="0"/>
    <x v="5"/>
    <n v="25.51"/>
    <n v="4"/>
    <n v="5.1020000000000003"/>
    <x v="225"/>
    <x v="8"/>
    <x v="195"/>
    <x v="0"/>
    <n v="102.04"/>
    <n v="4.7619047620000003"/>
    <n v="5.1020000000000003"/>
    <n v="6.8"/>
  </r>
  <r>
    <s v="641-43-2399"/>
    <x v="2"/>
    <x v="1"/>
    <x v="1"/>
    <x v="0"/>
    <x v="3"/>
    <n v="25.55"/>
    <n v="4"/>
    <n v="5.1100000000000003"/>
    <x v="226"/>
    <x v="1"/>
    <x v="196"/>
    <x v="1"/>
    <n v="102.2"/>
    <n v="4.7619047620000003"/>
    <n v="5.1100000000000003"/>
    <n v="5.7"/>
  </r>
  <r>
    <s v="977-16-8618"/>
    <x v="2"/>
    <x v="0"/>
    <x v="1"/>
    <x v="0"/>
    <x v="3"/>
    <n v="25.55"/>
    <n v="4"/>
    <n v="5.1100000000000003"/>
    <x v="226"/>
    <x v="1"/>
    <x v="196"/>
    <x v="1"/>
    <n v="102.2"/>
    <n v="4.7619047620000003"/>
    <n v="5.1100000000000003"/>
    <n v="4.8"/>
  </r>
  <r>
    <s v="132-23-6451"/>
    <x v="0"/>
    <x v="2"/>
    <x v="0"/>
    <x v="0"/>
    <x v="4"/>
    <n v="20.97"/>
    <n v="5"/>
    <n v="5.2424999999999997"/>
    <x v="227"/>
    <x v="72"/>
    <x v="197"/>
    <x v="0"/>
    <n v="104.85"/>
    <n v="4.7619047620000003"/>
    <n v="5.2424999999999997"/>
    <n v="7.8"/>
  </r>
  <r>
    <s v="821-14-9046"/>
    <x v="0"/>
    <x v="1"/>
    <x v="0"/>
    <x v="1"/>
    <x v="1"/>
    <n v="17.48"/>
    <n v="6"/>
    <n v="5.2439999999999998"/>
    <x v="228"/>
    <x v="40"/>
    <x v="198"/>
    <x v="2"/>
    <n v="104.88"/>
    <n v="4.7619047620000003"/>
    <n v="5.2439999999999998"/>
    <n v="6.1"/>
  </r>
  <r>
    <s v="630-52-9213"/>
    <x v="1"/>
    <x v="1"/>
    <x v="1"/>
    <x v="0"/>
    <x v="2"/>
    <n v="17.48"/>
    <n v="6"/>
    <n v="5.2439999999999998"/>
    <x v="228"/>
    <x v="40"/>
    <x v="198"/>
    <x v="2"/>
    <n v="104.88"/>
    <n v="4.7619047620000003"/>
    <n v="5.2439999999999998"/>
    <n v="6.1"/>
  </r>
  <r>
    <s v="378-24-2715"/>
    <x v="2"/>
    <x v="1"/>
    <x v="1"/>
    <x v="0"/>
    <x v="3"/>
    <n v="53.44"/>
    <n v="2"/>
    <n v="5.3440000000000003"/>
    <x v="229"/>
    <x v="84"/>
    <x v="184"/>
    <x v="0"/>
    <n v="106.88"/>
    <n v="4.7619047620000003"/>
    <n v="5.3440000000000003"/>
    <n v="4.0999999999999996"/>
  </r>
  <r>
    <s v="789-95-2164"/>
    <x v="0"/>
    <x v="1"/>
    <x v="1"/>
    <x v="0"/>
    <x v="2"/>
    <n v="53.44"/>
    <n v="2"/>
    <n v="5.3440000000000003"/>
    <x v="229"/>
    <x v="84"/>
    <x v="184"/>
    <x v="0"/>
    <n v="106.88"/>
    <n v="4.7619047620000003"/>
    <n v="5.3440000000000003"/>
    <n v="4.0999999999999996"/>
  </r>
  <r>
    <s v="157-99-6349"/>
    <x v="1"/>
    <x v="2"/>
    <x v="0"/>
    <x v="0"/>
    <x v="0"/>
    <n v="27.04"/>
    <n v="4"/>
    <n v="5.4080000000000004"/>
    <x v="230"/>
    <x v="85"/>
    <x v="199"/>
    <x v="1"/>
    <n v="108.16"/>
    <n v="4.7619047620000003"/>
    <n v="5.4080000000000004"/>
    <n v="6.9"/>
  </r>
  <r>
    <s v="182-52-7000"/>
    <x v="0"/>
    <x v="2"/>
    <x v="0"/>
    <x v="1"/>
    <x v="0"/>
    <n v="27.04"/>
    <n v="4"/>
    <n v="5.4080000000000004"/>
    <x v="230"/>
    <x v="85"/>
    <x v="199"/>
    <x v="1"/>
    <n v="108.16"/>
    <n v="4.7619047620000003"/>
    <n v="5.4080000000000004"/>
    <n v="6.9"/>
  </r>
  <r>
    <s v="599-51-2147"/>
    <x v="1"/>
    <x v="2"/>
    <x v="1"/>
    <x v="1"/>
    <x v="2"/>
    <n v="10.96"/>
    <n v="10"/>
    <n v="5.48"/>
    <x v="231"/>
    <x v="11"/>
    <x v="200"/>
    <x v="1"/>
    <n v="109.6"/>
    <n v="4.7619047620000003"/>
    <n v="5.48"/>
    <n v="6"/>
  </r>
  <r>
    <s v="642-32-2990"/>
    <x v="1"/>
    <x v="2"/>
    <x v="1"/>
    <x v="0"/>
    <x v="2"/>
    <n v="10.96"/>
    <n v="10"/>
    <n v="5.48"/>
    <x v="231"/>
    <x v="11"/>
    <x v="200"/>
    <x v="1"/>
    <n v="109.6"/>
    <n v="4.7619047620000003"/>
    <n v="5.48"/>
    <n v="6"/>
  </r>
  <r>
    <s v="687-92-6543"/>
    <x v="1"/>
    <x v="2"/>
    <x v="1"/>
    <x v="1"/>
    <x v="2"/>
    <n v="10.96"/>
    <n v="10"/>
    <n v="5.48"/>
    <x v="231"/>
    <x v="11"/>
    <x v="200"/>
    <x v="1"/>
    <n v="109.6"/>
    <n v="4.7619047620000003"/>
    <n v="5.48"/>
    <n v="4.9000000000000004"/>
  </r>
  <r>
    <s v="925-89-7173"/>
    <x v="1"/>
    <x v="0"/>
    <x v="1"/>
    <x v="0"/>
    <x v="2"/>
    <n v="10.96"/>
    <n v="10"/>
    <n v="5.48"/>
    <x v="231"/>
    <x v="11"/>
    <x v="200"/>
    <x v="1"/>
    <n v="109.6"/>
    <n v="4.7619047620000003"/>
    <n v="5.48"/>
    <n v="5"/>
  </r>
  <r>
    <s v="291-32-1427"/>
    <x v="2"/>
    <x v="1"/>
    <x v="0"/>
    <x v="0"/>
    <x v="1"/>
    <n v="21.94"/>
    <n v="5"/>
    <n v="5.4850000000000003"/>
    <x v="232"/>
    <x v="53"/>
    <x v="201"/>
    <x v="0"/>
    <n v="109.7"/>
    <n v="4.7619047620000003"/>
    <n v="5.4850000000000003"/>
    <n v="5.3"/>
  </r>
  <r>
    <s v="420-61-5021"/>
    <x v="1"/>
    <x v="1"/>
    <x v="0"/>
    <x v="0"/>
    <x v="1"/>
    <n v="21.94"/>
    <n v="5"/>
    <n v="5.4850000000000003"/>
    <x v="232"/>
    <x v="53"/>
    <x v="201"/>
    <x v="1"/>
    <n v="109.7"/>
    <n v="4.7619047620000003"/>
    <n v="5.4850000000000003"/>
    <n v="5.3"/>
  </r>
  <r>
    <s v="487-79-6868"/>
    <x v="2"/>
    <x v="1"/>
    <x v="0"/>
    <x v="1"/>
    <x v="3"/>
    <n v="12.29"/>
    <n v="9"/>
    <n v="5.5305"/>
    <x v="233"/>
    <x v="39"/>
    <x v="202"/>
    <x v="2"/>
    <n v="110.61"/>
    <n v="4.7619047620000003"/>
    <n v="5.5305"/>
    <n v="8"/>
  </r>
  <r>
    <s v="662-47-3616"/>
    <x v="2"/>
    <x v="1"/>
    <x v="0"/>
    <x v="0"/>
    <x v="5"/>
    <n v="55.67"/>
    <n v="2"/>
    <n v="5.5670000000000002"/>
    <x v="234"/>
    <x v="82"/>
    <x v="51"/>
    <x v="1"/>
    <n v="111.34"/>
    <n v="4.7619047620000003"/>
    <n v="5.5670000000000002"/>
    <n v="6"/>
  </r>
  <r>
    <s v="794-32-2436"/>
    <x v="0"/>
    <x v="1"/>
    <x v="0"/>
    <x v="0"/>
    <x v="5"/>
    <n v="55.67"/>
    <n v="2"/>
    <n v="5.5670000000000002"/>
    <x v="234"/>
    <x v="82"/>
    <x v="51"/>
    <x v="0"/>
    <n v="111.34"/>
    <n v="4.7619047620000003"/>
    <n v="5.5670000000000002"/>
    <n v="6"/>
  </r>
  <r>
    <s v="410-43-4981"/>
    <x v="2"/>
    <x v="0"/>
    <x v="0"/>
    <x v="0"/>
    <x v="5"/>
    <n v="55.67"/>
    <n v="2"/>
    <n v="5.5670000000000002"/>
    <x v="234"/>
    <x v="82"/>
    <x v="51"/>
    <x v="1"/>
    <n v="111.34"/>
    <n v="4.7619047620000003"/>
    <n v="5.5670000000000002"/>
    <n v="5.0999999999999996"/>
  </r>
  <r>
    <s v="554-53-8700"/>
    <x v="0"/>
    <x v="0"/>
    <x v="0"/>
    <x v="0"/>
    <x v="3"/>
    <n v="56.11"/>
    <n v="2"/>
    <n v="5.6109999999999998"/>
    <x v="235"/>
    <x v="11"/>
    <x v="43"/>
    <x v="0"/>
    <n v="112.22"/>
    <n v="4.7619047620000003"/>
    <n v="5.6109999999999998"/>
    <n v="6.3"/>
  </r>
  <r>
    <s v="356-44-8813"/>
    <x v="0"/>
    <x v="1"/>
    <x v="1"/>
    <x v="0"/>
    <x v="3"/>
    <n v="37.479999999999997"/>
    <n v="3"/>
    <n v="5.6219999999999999"/>
    <x v="236"/>
    <x v="84"/>
    <x v="203"/>
    <x v="0"/>
    <n v="112.44"/>
    <n v="4.7619047620000003"/>
    <n v="5.6219999999999999"/>
    <n v="7.7"/>
  </r>
  <r>
    <s v="466-31-7832"/>
    <x v="0"/>
    <x v="1"/>
    <x v="1"/>
    <x v="0"/>
    <x v="2"/>
    <n v="37.479999999999997"/>
    <n v="3"/>
    <n v="5.6219999999999999"/>
    <x v="236"/>
    <x v="84"/>
    <x v="203"/>
    <x v="0"/>
    <n v="112.44"/>
    <n v="4.7619047620000003"/>
    <n v="5.6219999999999999"/>
    <n v="7.7"/>
  </r>
  <r>
    <s v="243-47-2663"/>
    <x v="0"/>
    <x v="0"/>
    <x v="0"/>
    <x v="0"/>
    <x v="5"/>
    <n v="18.77"/>
    <n v="6"/>
    <n v="5.6310000000000002"/>
    <x v="237"/>
    <x v="12"/>
    <x v="204"/>
    <x v="2"/>
    <n v="112.62"/>
    <n v="4.7619047620000003"/>
    <n v="5.6310000000000002"/>
    <n v="5.5"/>
  </r>
  <r>
    <s v="365-54-4165"/>
    <x v="0"/>
    <x v="0"/>
    <x v="0"/>
    <x v="0"/>
    <x v="5"/>
    <n v="18.77"/>
    <n v="6"/>
    <n v="5.6310000000000002"/>
    <x v="237"/>
    <x v="12"/>
    <x v="204"/>
    <x v="0"/>
    <n v="112.62"/>
    <n v="4.7619047620000003"/>
    <n v="5.6310000000000002"/>
    <n v="5.5"/>
  </r>
  <r>
    <s v="768-30-8447"/>
    <x v="0"/>
    <x v="0"/>
    <x v="0"/>
    <x v="0"/>
    <x v="2"/>
    <n v="18.77"/>
    <n v="6"/>
    <n v="5.6310000000000002"/>
    <x v="237"/>
    <x v="12"/>
    <x v="204"/>
    <x v="0"/>
    <n v="112.62"/>
    <n v="4.7619047620000003"/>
    <n v="5.6310000000000002"/>
    <n v="5.5"/>
  </r>
  <r>
    <s v="748-45-2862"/>
    <x v="1"/>
    <x v="1"/>
    <x v="0"/>
    <x v="1"/>
    <x v="3"/>
    <n v="28.31"/>
    <n v="4"/>
    <n v="5.6619999999999999"/>
    <x v="238"/>
    <x v="33"/>
    <x v="205"/>
    <x v="0"/>
    <n v="113.24"/>
    <n v="4.7619047620000003"/>
    <n v="5.6619999999999999"/>
    <n v="8.1999999999999993"/>
  </r>
  <r>
    <s v="379-25-9843"/>
    <x v="2"/>
    <x v="1"/>
    <x v="0"/>
    <x v="0"/>
    <x v="5"/>
    <n v="18.93"/>
    <n v="6"/>
    <n v="5.6790000000000003"/>
    <x v="239"/>
    <x v="64"/>
    <x v="206"/>
    <x v="0"/>
    <n v="113.58"/>
    <n v="4.7619047620000003"/>
    <n v="5.6790000000000003"/>
    <n v="8.1"/>
  </r>
  <r>
    <s v="669-54-1719"/>
    <x v="2"/>
    <x v="1"/>
    <x v="0"/>
    <x v="0"/>
    <x v="5"/>
    <n v="18.93"/>
    <n v="6"/>
    <n v="5.6790000000000003"/>
    <x v="239"/>
    <x v="64"/>
    <x v="206"/>
    <x v="2"/>
    <n v="113.58"/>
    <n v="4.7619047620000003"/>
    <n v="5.6790000000000003"/>
    <n v="8.1"/>
  </r>
  <r>
    <s v="109-63-8625"/>
    <x v="0"/>
    <x v="1"/>
    <x v="0"/>
    <x v="0"/>
    <x v="2"/>
    <n v="18.93"/>
    <n v="6"/>
    <n v="5.6790000000000003"/>
    <x v="239"/>
    <x v="64"/>
    <x v="206"/>
    <x v="0"/>
    <n v="113.58"/>
    <n v="4.7619047620000003"/>
    <n v="5.6790000000000003"/>
    <n v="8.1"/>
  </r>
  <r>
    <s v="424-44-8717"/>
    <x v="2"/>
    <x v="0"/>
    <x v="0"/>
    <x v="0"/>
    <x v="5"/>
    <n v="18.93"/>
    <n v="6"/>
    <n v="5.6790000000000003"/>
    <x v="239"/>
    <x v="64"/>
    <x v="206"/>
    <x v="2"/>
    <n v="113.58"/>
    <n v="4.7619047620000003"/>
    <n v="5.6790000000000003"/>
    <n v="5.2"/>
  </r>
  <r>
    <s v="848-07-1692"/>
    <x v="0"/>
    <x v="1"/>
    <x v="1"/>
    <x v="1"/>
    <x v="2"/>
    <n v="57.22"/>
    <n v="2"/>
    <n v="5.7220000000000004"/>
    <x v="240"/>
    <x v="22"/>
    <x v="207"/>
    <x v="1"/>
    <n v="114.44"/>
    <n v="4.7619047620000003"/>
    <n v="5.7220000000000004"/>
    <n v="8.3000000000000007"/>
  </r>
  <r>
    <s v="606-80-4905"/>
    <x v="0"/>
    <x v="0"/>
    <x v="0"/>
    <x v="0"/>
    <x v="0"/>
    <n v="19.149999999999999"/>
    <n v="6"/>
    <n v="5.7450000000000001"/>
    <x v="241"/>
    <x v="38"/>
    <x v="142"/>
    <x v="2"/>
    <n v="114.9"/>
    <n v="4.7619047620000003"/>
    <n v="5.7450000000000001"/>
    <n v="6.8"/>
  </r>
  <r>
    <s v="271-27-6618"/>
    <x v="0"/>
    <x v="0"/>
    <x v="0"/>
    <x v="0"/>
    <x v="0"/>
    <n v="19.149999999999999"/>
    <n v="6"/>
    <n v="5.7450000000000001"/>
    <x v="241"/>
    <x v="38"/>
    <x v="142"/>
    <x v="2"/>
    <n v="114.9"/>
    <n v="4.7619047620000003"/>
    <n v="5.7450000000000001"/>
    <n v="5.3"/>
  </r>
  <r>
    <s v="727-75-6477"/>
    <x v="0"/>
    <x v="1"/>
    <x v="1"/>
    <x v="0"/>
    <x v="5"/>
    <n v="28.84"/>
    <n v="4"/>
    <n v="5.7679999999999998"/>
    <x v="242"/>
    <x v="86"/>
    <x v="208"/>
    <x v="0"/>
    <n v="115.36"/>
    <n v="4.7619047620000003"/>
    <n v="5.7679999999999998"/>
    <n v="6.4"/>
  </r>
  <r>
    <s v="980-64-1997"/>
    <x v="1"/>
    <x v="1"/>
    <x v="1"/>
    <x v="0"/>
    <x v="2"/>
    <n v="28.84"/>
    <n v="4"/>
    <n v="5.7679999999999998"/>
    <x v="242"/>
    <x v="86"/>
    <x v="208"/>
    <x v="0"/>
    <n v="115.36"/>
    <n v="4.7619047620000003"/>
    <n v="5.7679999999999998"/>
    <n v="6.4"/>
  </r>
  <r>
    <s v="349-97-8902"/>
    <x v="0"/>
    <x v="1"/>
    <x v="0"/>
    <x v="0"/>
    <x v="2"/>
    <n v="57.89"/>
    <n v="2"/>
    <n v="5.7889999999999997"/>
    <x v="243"/>
    <x v="77"/>
    <x v="209"/>
    <x v="0"/>
    <n v="115.78"/>
    <n v="4.7619047620000003"/>
    <n v="5.7889999999999997"/>
    <n v="8.9"/>
  </r>
  <r>
    <s v="923-26-3621"/>
    <x v="2"/>
    <x v="1"/>
    <x v="0"/>
    <x v="0"/>
    <x v="2"/>
    <n v="57.89"/>
    <n v="2"/>
    <n v="5.7889999999999997"/>
    <x v="243"/>
    <x v="77"/>
    <x v="209"/>
    <x v="1"/>
    <n v="115.78"/>
    <n v="4.7619047620000003"/>
    <n v="5.7889999999999997"/>
    <n v="8.9"/>
  </r>
  <r>
    <s v="564-36-2229"/>
    <x v="0"/>
    <x v="1"/>
    <x v="0"/>
    <x v="0"/>
    <x v="2"/>
    <n v="57.89"/>
    <n v="2"/>
    <n v="5.7889999999999997"/>
    <x v="243"/>
    <x v="77"/>
    <x v="209"/>
    <x v="0"/>
    <n v="115.78"/>
    <n v="4.7619047620000003"/>
    <n v="5.7889999999999997"/>
    <n v="8.9"/>
  </r>
  <r>
    <s v="242-91-7588"/>
    <x v="0"/>
    <x v="0"/>
    <x v="0"/>
    <x v="1"/>
    <x v="2"/>
    <n v="38.6"/>
    <n v="3"/>
    <n v="5.79"/>
    <x v="244"/>
    <x v="70"/>
    <x v="210"/>
    <x v="1"/>
    <n v="115.8"/>
    <n v="4.7619047620000003"/>
    <n v="5.79"/>
    <n v="7.5"/>
  </r>
  <r>
    <s v="266-76-6436"/>
    <x v="0"/>
    <x v="0"/>
    <x v="0"/>
    <x v="1"/>
    <x v="2"/>
    <n v="38.6"/>
    <n v="3"/>
    <n v="5.79"/>
    <x v="244"/>
    <x v="70"/>
    <x v="210"/>
    <x v="1"/>
    <n v="115.8"/>
    <n v="4.7619047620000003"/>
    <n v="5.79"/>
    <n v="7.5"/>
  </r>
  <r>
    <s v="745-74-0715"/>
    <x v="1"/>
    <x v="1"/>
    <x v="1"/>
    <x v="0"/>
    <x v="5"/>
    <n v="58.03"/>
    <n v="2"/>
    <n v="5.8029999999999999"/>
    <x v="245"/>
    <x v="20"/>
    <x v="211"/>
    <x v="1"/>
    <n v="116.06"/>
    <n v="4.7619047620000003"/>
    <n v="5.8029999999999999"/>
    <n v="8.8000000000000007"/>
  </r>
  <r>
    <s v="874-49-5560"/>
    <x v="1"/>
    <x v="1"/>
    <x v="1"/>
    <x v="0"/>
    <x v="2"/>
    <n v="58.03"/>
    <n v="2"/>
    <n v="5.8029999999999999"/>
    <x v="245"/>
    <x v="20"/>
    <x v="211"/>
    <x v="1"/>
    <n v="116.06"/>
    <n v="4.7619047620000003"/>
    <n v="5.8029999999999999"/>
    <n v="8.8000000000000007"/>
  </r>
  <r>
    <s v="545-07-8534"/>
    <x v="0"/>
    <x v="1"/>
    <x v="1"/>
    <x v="1"/>
    <x v="4"/>
    <n v="58.32"/>
    <n v="2"/>
    <n v="5.8319999999999999"/>
    <x v="246"/>
    <x v="83"/>
    <x v="163"/>
    <x v="0"/>
    <n v="116.64"/>
    <n v="4.7619047620000003"/>
    <n v="5.8319999999999999"/>
    <n v="6"/>
  </r>
  <r>
    <s v="583-41-4548"/>
    <x v="0"/>
    <x v="0"/>
    <x v="1"/>
    <x v="0"/>
    <x v="3"/>
    <n v="16.670000000000002"/>
    <n v="7"/>
    <n v="5.8345000000000002"/>
    <x v="247"/>
    <x v="0"/>
    <x v="212"/>
    <x v="1"/>
    <n v="116.69"/>
    <n v="4.7619047620000003"/>
    <n v="5.8345000000000002"/>
    <n v="7.4"/>
  </r>
  <r>
    <s v="372-26-1506"/>
    <x v="0"/>
    <x v="0"/>
    <x v="1"/>
    <x v="1"/>
    <x v="1"/>
    <n v="23.82"/>
    <n v="5"/>
    <n v="5.9550000000000001"/>
    <x v="248"/>
    <x v="12"/>
    <x v="80"/>
    <x v="0"/>
    <n v="119.1"/>
    <n v="4.7619047620000003"/>
    <n v="5.9550000000000001"/>
    <n v="5.4"/>
  </r>
  <r>
    <s v="978-82-9042"/>
    <x v="1"/>
    <x v="1"/>
    <x v="1"/>
    <x v="0"/>
    <x v="2"/>
    <n v="23.82"/>
    <n v="5"/>
    <n v="5.9550000000000001"/>
    <x v="248"/>
    <x v="12"/>
    <x v="80"/>
    <x v="1"/>
    <n v="119.1"/>
    <n v="4.7619047620000003"/>
    <n v="5.9550000000000001"/>
    <n v="5.4"/>
  </r>
  <r>
    <s v="685-62-7155"/>
    <x v="0"/>
    <x v="0"/>
    <x v="1"/>
    <x v="1"/>
    <x v="2"/>
    <n v="23.82"/>
    <n v="5"/>
    <n v="5.9550000000000001"/>
    <x v="248"/>
    <x v="12"/>
    <x v="80"/>
    <x v="0"/>
    <n v="119.1"/>
    <n v="4.7619047620000003"/>
    <n v="5.9550000000000001"/>
    <n v="5.4"/>
  </r>
  <r>
    <s v="448-81-5016"/>
    <x v="1"/>
    <x v="2"/>
    <x v="1"/>
    <x v="0"/>
    <x v="4"/>
    <n v="59.77"/>
    <n v="2"/>
    <n v="5.9770000000000003"/>
    <x v="249"/>
    <x v="79"/>
    <x v="213"/>
    <x v="0"/>
    <n v="119.54"/>
    <n v="4.7619047620000003"/>
    <n v="5.9770000000000003"/>
    <n v="5.8"/>
  </r>
  <r>
    <s v="701-86-7377"/>
    <x v="0"/>
    <x v="2"/>
    <x v="1"/>
    <x v="0"/>
    <x v="4"/>
    <n v="59.77"/>
    <n v="2"/>
    <n v="5.9770000000000003"/>
    <x v="249"/>
    <x v="79"/>
    <x v="213"/>
    <x v="0"/>
    <n v="119.54"/>
    <n v="4.7619047620000003"/>
    <n v="5.9770000000000003"/>
    <n v="5.8"/>
  </r>
  <r>
    <s v="536-49-8876"/>
    <x v="0"/>
    <x v="1"/>
    <x v="1"/>
    <x v="0"/>
    <x v="2"/>
    <n v="59.77"/>
    <n v="2"/>
    <n v="5.9770000000000003"/>
    <x v="249"/>
    <x v="79"/>
    <x v="213"/>
    <x v="0"/>
    <n v="119.54"/>
    <n v="4.7619047620000003"/>
    <n v="5.9770000000000003"/>
    <n v="5.8"/>
  </r>
  <r>
    <s v="396-90-2219"/>
    <x v="2"/>
    <x v="1"/>
    <x v="1"/>
    <x v="1"/>
    <x v="5"/>
    <n v="14.96"/>
    <n v="8"/>
    <n v="5.984"/>
    <x v="250"/>
    <x v="36"/>
    <x v="201"/>
    <x v="0"/>
    <n v="119.68"/>
    <n v="4.7619047620000003"/>
    <n v="5.984"/>
    <n v="8.6"/>
  </r>
  <r>
    <s v="705-26-5433"/>
    <x v="2"/>
    <x v="1"/>
    <x v="1"/>
    <x v="0"/>
    <x v="5"/>
    <n v="14.96"/>
    <n v="8"/>
    <n v="5.984"/>
    <x v="250"/>
    <x v="36"/>
    <x v="201"/>
    <x v="0"/>
    <n v="119.68"/>
    <n v="4.7619047620000003"/>
    <n v="5.984"/>
    <n v="8.6"/>
  </r>
  <r>
    <s v="518-34-1041"/>
    <x v="0"/>
    <x v="1"/>
    <x v="1"/>
    <x v="0"/>
    <x v="5"/>
    <n v="14.96"/>
    <n v="8"/>
    <n v="5.984"/>
    <x v="250"/>
    <x v="36"/>
    <x v="201"/>
    <x v="0"/>
    <n v="119.68"/>
    <n v="4.7619047620000003"/>
    <n v="5.984"/>
    <n v="8.6"/>
  </r>
  <r>
    <s v="339-38-9982"/>
    <x v="0"/>
    <x v="1"/>
    <x v="0"/>
    <x v="0"/>
    <x v="1"/>
    <n v="59.86"/>
    <n v="2"/>
    <n v="5.9859999999999998"/>
    <x v="251"/>
    <x v="75"/>
    <x v="214"/>
    <x v="0"/>
    <n v="119.72"/>
    <n v="4.7619047620000003"/>
    <n v="5.9859999999999998"/>
    <n v="6.7"/>
  </r>
  <r>
    <s v="647-62-7278"/>
    <x v="2"/>
    <x v="1"/>
    <x v="0"/>
    <x v="0"/>
    <x v="1"/>
    <n v="59.86"/>
    <n v="2"/>
    <n v="5.9859999999999998"/>
    <x v="251"/>
    <x v="75"/>
    <x v="214"/>
    <x v="0"/>
    <n v="119.72"/>
    <n v="4.7619047620000003"/>
    <n v="5.9859999999999998"/>
    <n v="6.7"/>
  </r>
  <r>
    <s v="972-77-4012"/>
    <x v="0"/>
    <x v="1"/>
    <x v="0"/>
    <x v="0"/>
    <x v="2"/>
    <n v="59.86"/>
    <n v="2"/>
    <n v="5.9859999999999998"/>
    <x v="251"/>
    <x v="75"/>
    <x v="214"/>
    <x v="0"/>
    <n v="119.72"/>
    <n v="4.7619047620000003"/>
    <n v="5.9859999999999998"/>
    <n v="6.7"/>
  </r>
  <r>
    <s v="312-46-1983"/>
    <x v="2"/>
    <x v="0"/>
    <x v="0"/>
    <x v="0"/>
    <x v="1"/>
    <n v="59.86"/>
    <n v="2"/>
    <n v="5.9859999999999998"/>
    <x v="251"/>
    <x v="75"/>
    <x v="214"/>
    <x v="0"/>
    <n v="119.72"/>
    <n v="4.7619047620000003"/>
    <n v="5.9859999999999998"/>
    <n v="5.4"/>
  </r>
  <r>
    <s v="503-21-4385"/>
    <x v="2"/>
    <x v="1"/>
    <x v="0"/>
    <x v="0"/>
    <x v="4"/>
    <n v="39.909999999999997"/>
    <n v="3"/>
    <n v="5.9865000000000004"/>
    <x v="252"/>
    <x v="2"/>
    <x v="38"/>
    <x v="0"/>
    <n v="119.73"/>
    <n v="4.7619047620000003"/>
    <n v="5.9865000000000004"/>
    <n v="9.3000000000000007"/>
  </r>
  <r>
    <s v="372-16-9929"/>
    <x v="0"/>
    <x v="0"/>
    <x v="0"/>
    <x v="0"/>
    <x v="0"/>
    <n v="17.14"/>
    <n v="7"/>
    <n v="5.9989999999999997"/>
    <x v="253"/>
    <x v="30"/>
    <x v="215"/>
    <x v="0"/>
    <n v="119.98"/>
    <n v="4.7619047620000003"/>
    <n v="5.9989999999999997"/>
    <n v="7.9"/>
  </r>
  <r>
    <s v="842-29-4695"/>
    <x v="0"/>
    <x v="0"/>
    <x v="0"/>
    <x v="0"/>
    <x v="0"/>
    <n v="17.14"/>
    <n v="7"/>
    <n v="5.9989999999999997"/>
    <x v="253"/>
    <x v="30"/>
    <x v="215"/>
    <x v="2"/>
    <n v="119.98"/>
    <n v="4.7619047620000003"/>
    <n v="5.9989999999999997"/>
    <n v="7.9"/>
  </r>
  <r>
    <s v="945-13-7025"/>
    <x v="0"/>
    <x v="0"/>
    <x v="0"/>
    <x v="0"/>
    <x v="2"/>
    <n v="17.14"/>
    <n v="7"/>
    <n v="5.9989999999999997"/>
    <x v="253"/>
    <x v="30"/>
    <x v="215"/>
    <x v="0"/>
    <n v="119.98"/>
    <n v="4.7619047620000003"/>
    <n v="5.9989999999999997"/>
    <n v="7.9"/>
  </r>
  <r>
    <s v="148-82-2527"/>
    <x v="0"/>
    <x v="0"/>
    <x v="0"/>
    <x v="1"/>
    <x v="3"/>
    <n v="12.12"/>
    <n v="10"/>
    <n v="6.06"/>
    <x v="254"/>
    <x v="53"/>
    <x v="216"/>
    <x v="0"/>
    <n v="121.2"/>
    <n v="4.7619047620000003"/>
    <n v="6.06"/>
    <n v="8.4"/>
  </r>
  <r>
    <s v="744-83-7588"/>
    <x v="1"/>
    <x v="2"/>
    <x v="1"/>
    <x v="0"/>
    <x v="0"/>
    <n v="60.87"/>
    <n v="2"/>
    <n v="6.0869999999999997"/>
    <x v="255"/>
    <x v="8"/>
    <x v="145"/>
    <x v="1"/>
    <n v="121.74"/>
    <n v="4.7619047620000003"/>
    <n v="6.0869999999999997"/>
    <n v="8.6999999999999993"/>
  </r>
  <r>
    <s v="816-57-2053"/>
    <x v="0"/>
    <x v="2"/>
    <x v="1"/>
    <x v="0"/>
    <x v="0"/>
    <n v="60.87"/>
    <n v="2"/>
    <n v="6.0869999999999997"/>
    <x v="255"/>
    <x v="8"/>
    <x v="145"/>
    <x v="0"/>
    <n v="121.74"/>
    <n v="4.7619047620000003"/>
    <n v="6.0869999999999997"/>
    <n v="8.6999999999999993"/>
  </r>
  <r>
    <s v="261-12-8671"/>
    <x v="2"/>
    <x v="1"/>
    <x v="1"/>
    <x v="1"/>
    <x v="1"/>
    <n v="60.96"/>
    <n v="2"/>
    <n v="6.0960000000000001"/>
    <x v="256"/>
    <x v="6"/>
    <x v="217"/>
    <x v="2"/>
    <n v="121.92"/>
    <n v="4.7619047620000003"/>
    <n v="6.0960000000000001"/>
    <n v="4.9000000000000004"/>
  </r>
  <r>
    <s v="929-56-2304"/>
    <x v="2"/>
    <x v="1"/>
    <x v="1"/>
    <x v="0"/>
    <x v="2"/>
    <n v="60.96"/>
    <n v="2"/>
    <n v="6.0960000000000001"/>
    <x v="256"/>
    <x v="6"/>
    <x v="217"/>
    <x v="2"/>
    <n v="121.92"/>
    <n v="4.7619047620000003"/>
    <n v="6.0960000000000001"/>
    <n v="4.9000000000000004"/>
  </r>
  <r>
    <s v="760-54-1821"/>
    <x v="0"/>
    <x v="1"/>
    <x v="1"/>
    <x v="0"/>
    <x v="3"/>
    <n v="13.59"/>
    <n v="9"/>
    <n v="6.1154999999999999"/>
    <x v="257"/>
    <x v="54"/>
    <x v="218"/>
    <x v="0"/>
    <n v="122.31"/>
    <n v="4.7619047620000003"/>
    <n v="6.1154999999999999"/>
    <n v="5.8"/>
  </r>
  <r>
    <s v="760-53-9233"/>
    <x v="1"/>
    <x v="1"/>
    <x v="0"/>
    <x v="0"/>
    <x v="1"/>
    <n v="41.28"/>
    <n v="3"/>
    <n v="6.1920000000000002"/>
    <x v="258"/>
    <x v="39"/>
    <x v="219"/>
    <x v="0"/>
    <n v="123.84"/>
    <n v="4.7619047620000003"/>
    <n v="6.1920000000000002"/>
    <n v="8.5"/>
  </r>
  <r>
    <s v="560-30-5617"/>
    <x v="2"/>
    <x v="1"/>
    <x v="1"/>
    <x v="0"/>
    <x v="0"/>
    <n v="24.77"/>
    <n v="5"/>
    <n v="6.1924999999999999"/>
    <x v="259"/>
    <x v="73"/>
    <x v="132"/>
    <x v="0"/>
    <n v="123.85"/>
    <n v="4.7619047620000003"/>
    <n v="6.1924999999999999"/>
    <n v="8.5"/>
  </r>
  <r>
    <s v="268-20-3585"/>
    <x v="0"/>
    <x v="0"/>
    <x v="1"/>
    <x v="1"/>
    <x v="4"/>
    <n v="13.85"/>
    <n v="9"/>
    <n v="6.2324999999999999"/>
    <x v="260"/>
    <x v="4"/>
    <x v="120"/>
    <x v="1"/>
    <n v="124.65"/>
    <n v="4.7619047620000003"/>
    <n v="6.2324999999999999"/>
    <n v="6"/>
  </r>
  <r>
    <s v="482-19-4429"/>
    <x v="0"/>
    <x v="0"/>
    <x v="1"/>
    <x v="0"/>
    <x v="1"/>
    <n v="15.62"/>
    <n v="8"/>
    <n v="6.2480000000000002"/>
    <x v="261"/>
    <x v="84"/>
    <x v="220"/>
    <x v="1"/>
    <n v="124.96"/>
    <n v="4.7619047620000003"/>
    <n v="6.2480000000000002"/>
    <n v="9.1"/>
  </r>
  <r>
    <s v="760-27-5490"/>
    <x v="0"/>
    <x v="0"/>
    <x v="1"/>
    <x v="0"/>
    <x v="1"/>
    <n v="15.62"/>
    <n v="8"/>
    <n v="6.2480000000000002"/>
    <x v="261"/>
    <x v="84"/>
    <x v="220"/>
    <x v="1"/>
    <n v="124.96"/>
    <n v="4.7619047620000003"/>
    <n v="6.2480000000000002"/>
    <n v="9.1"/>
  </r>
  <r>
    <s v="101-81-4070"/>
    <x v="0"/>
    <x v="1"/>
    <x v="0"/>
    <x v="1"/>
    <x v="4"/>
    <n v="62.82"/>
    <n v="2"/>
    <n v="6.282"/>
    <x v="262"/>
    <x v="77"/>
    <x v="135"/>
    <x v="0"/>
    <n v="125.64"/>
    <n v="4.7619047620000003"/>
    <n v="6.282"/>
    <n v="4.9000000000000004"/>
  </r>
  <r>
    <s v="133-14-7229"/>
    <x v="0"/>
    <x v="0"/>
    <x v="1"/>
    <x v="0"/>
    <x v="4"/>
    <n v="62.87"/>
    <n v="2"/>
    <n v="6.2869999999999999"/>
    <x v="263"/>
    <x v="85"/>
    <x v="221"/>
    <x v="0"/>
    <n v="125.74"/>
    <n v="4.7619047620000003"/>
    <n v="6.2869999999999999"/>
    <n v="5"/>
  </r>
  <r>
    <s v="102-06-2002"/>
    <x v="0"/>
    <x v="1"/>
    <x v="0"/>
    <x v="0"/>
    <x v="0"/>
    <n v="25.25"/>
    <n v="5"/>
    <n v="6.3125"/>
    <x v="264"/>
    <x v="34"/>
    <x v="222"/>
    <x v="0"/>
    <n v="126.25"/>
    <n v="4.7619047620000003"/>
    <n v="6.3125"/>
    <n v="6.1"/>
  </r>
  <r>
    <s v="776-94-7101"/>
    <x v="0"/>
    <x v="0"/>
    <x v="0"/>
    <x v="0"/>
    <x v="0"/>
    <n v="25.25"/>
    <n v="5"/>
    <n v="6.3125"/>
    <x v="264"/>
    <x v="34"/>
    <x v="222"/>
    <x v="0"/>
    <n v="126.25"/>
    <n v="4.7619047620000003"/>
    <n v="6.3125"/>
    <n v="6.1"/>
  </r>
  <r>
    <s v="290-86-6355"/>
    <x v="0"/>
    <x v="0"/>
    <x v="1"/>
    <x v="0"/>
    <x v="5"/>
    <n v="63.22"/>
    <n v="2"/>
    <n v="6.3220000000000001"/>
    <x v="265"/>
    <x v="85"/>
    <x v="19"/>
    <x v="0"/>
    <n v="126.44"/>
    <n v="4.7619047620000003"/>
    <n v="6.3220000000000001"/>
    <n v="8.5"/>
  </r>
  <r>
    <s v="556-97-7101"/>
    <x v="0"/>
    <x v="0"/>
    <x v="1"/>
    <x v="1"/>
    <x v="5"/>
    <n v="63.22"/>
    <n v="2"/>
    <n v="6.3220000000000001"/>
    <x v="265"/>
    <x v="85"/>
    <x v="19"/>
    <x v="0"/>
    <n v="126.44"/>
    <n v="4.7619047620000003"/>
    <n v="6.3220000000000001"/>
    <n v="8.5"/>
  </r>
  <r>
    <s v="399-79-5787"/>
    <x v="1"/>
    <x v="0"/>
    <x v="1"/>
    <x v="0"/>
    <x v="5"/>
    <n v="63.22"/>
    <n v="2"/>
    <n v="6.3220000000000001"/>
    <x v="265"/>
    <x v="85"/>
    <x v="19"/>
    <x v="1"/>
    <n v="126.44"/>
    <n v="4.7619047620000003"/>
    <n v="6.3220000000000001"/>
    <n v="8.5"/>
  </r>
  <r>
    <s v="830-58-2383"/>
    <x v="0"/>
    <x v="1"/>
    <x v="1"/>
    <x v="0"/>
    <x v="3"/>
    <n v="31.75"/>
    <n v="4"/>
    <n v="6.35"/>
    <x v="266"/>
    <x v="13"/>
    <x v="69"/>
    <x v="0"/>
    <n v="127"/>
    <n v="4.7619047620000003"/>
    <n v="6.35"/>
    <n v="8.6"/>
  </r>
  <r>
    <s v="435-73-8931"/>
    <x v="0"/>
    <x v="0"/>
    <x v="1"/>
    <x v="0"/>
    <x v="2"/>
    <n v="31.77"/>
    <n v="4"/>
    <n v="6.3540000000000001"/>
    <x v="267"/>
    <x v="9"/>
    <x v="73"/>
    <x v="0"/>
    <n v="127.08"/>
    <n v="4.7619047620000003"/>
    <n v="6.3540000000000001"/>
    <n v="6.2"/>
  </r>
  <r>
    <s v="592-34-6155"/>
    <x v="0"/>
    <x v="0"/>
    <x v="1"/>
    <x v="0"/>
    <x v="2"/>
    <n v="31.77"/>
    <n v="4"/>
    <n v="6.3540000000000001"/>
    <x v="267"/>
    <x v="9"/>
    <x v="73"/>
    <x v="1"/>
    <n v="127.08"/>
    <n v="4.7619047620000003"/>
    <n v="6.3540000000000001"/>
    <n v="6.2"/>
  </r>
  <r>
    <s v="603-52-4588"/>
    <x v="0"/>
    <x v="0"/>
    <x v="1"/>
    <x v="0"/>
    <x v="2"/>
    <n v="31.77"/>
    <n v="4"/>
    <n v="6.3540000000000001"/>
    <x v="267"/>
    <x v="9"/>
    <x v="73"/>
    <x v="0"/>
    <n v="127.08"/>
    <n v="4.7619047620000003"/>
    <n v="6.3540000000000001"/>
    <n v="6.2"/>
  </r>
  <r>
    <s v="481-48-8213"/>
    <x v="2"/>
    <x v="1"/>
    <x v="1"/>
    <x v="0"/>
    <x v="2"/>
    <n v="18.22"/>
    <n v="7"/>
    <n v="6.3769999999999998"/>
    <x v="268"/>
    <x v="20"/>
    <x v="167"/>
    <x v="2"/>
    <n v="127.54"/>
    <n v="4.7619047620000003"/>
    <n v="6.3769999999999998"/>
    <n v="6.6"/>
  </r>
  <r>
    <s v="596-42-3999"/>
    <x v="0"/>
    <x v="1"/>
    <x v="1"/>
    <x v="0"/>
    <x v="2"/>
    <n v="18.22"/>
    <n v="7"/>
    <n v="6.3769999999999998"/>
    <x v="268"/>
    <x v="20"/>
    <x v="167"/>
    <x v="2"/>
    <n v="127.54"/>
    <n v="4.7619047620000003"/>
    <n v="6.3769999999999998"/>
    <n v="6.6"/>
  </r>
  <r>
    <s v="811-24-9153"/>
    <x v="0"/>
    <x v="1"/>
    <x v="1"/>
    <x v="0"/>
    <x v="2"/>
    <n v="18.22"/>
    <n v="7"/>
    <n v="6.3769999999999998"/>
    <x v="268"/>
    <x v="20"/>
    <x v="167"/>
    <x v="2"/>
    <n v="127.54"/>
    <n v="4.7619047620000003"/>
    <n v="6.3769999999999998"/>
    <n v="5.5"/>
  </r>
  <r>
    <s v="151-94-2797"/>
    <x v="2"/>
    <x v="1"/>
    <x v="1"/>
    <x v="0"/>
    <x v="0"/>
    <n v="42.97"/>
    <n v="3"/>
    <n v="6.4455"/>
    <x v="269"/>
    <x v="52"/>
    <x v="223"/>
    <x v="0"/>
    <n v="128.91"/>
    <n v="4.7619047620000003"/>
    <n v="6.4455"/>
    <n v="9.3000000000000007"/>
  </r>
  <r>
    <s v="322-02-2271"/>
    <x v="0"/>
    <x v="1"/>
    <x v="1"/>
    <x v="1"/>
    <x v="0"/>
    <n v="42.97"/>
    <n v="3"/>
    <n v="6.4455"/>
    <x v="269"/>
    <x v="52"/>
    <x v="223"/>
    <x v="0"/>
    <n v="128.91"/>
    <n v="4.7619047620000003"/>
    <n v="6.4455"/>
    <n v="9.3000000000000007"/>
  </r>
  <r>
    <s v="722-90-6691"/>
    <x v="0"/>
    <x v="1"/>
    <x v="1"/>
    <x v="1"/>
    <x v="0"/>
    <n v="42.97"/>
    <n v="3"/>
    <n v="6.4455"/>
    <x v="269"/>
    <x v="52"/>
    <x v="223"/>
    <x v="0"/>
    <n v="128.91"/>
    <n v="4.7619047620000003"/>
    <n v="6.4455"/>
    <n v="9.3000000000000007"/>
  </r>
  <r>
    <s v="151-16-1484"/>
    <x v="1"/>
    <x v="1"/>
    <x v="0"/>
    <x v="0"/>
    <x v="5"/>
    <n v="32.25"/>
    <n v="4"/>
    <n v="6.45"/>
    <x v="270"/>
    <x v="25"/>
    <x v="2"/>
    <x v="1"/>
    <n v="129"/>
    <n v="4.7619047620000003"/>
    <n v="6.45"/>
    <n v="6.5"/>
  </r>
  <r>
    <s v="728-92-0311"/>
    <x v="1"/>
    <x v="2"/>
    <x v="0"/>
    <x v="0"/>
    <x v="5"/>
    <n v="32.25"/>
    <n v="4"/>
    <n v="6.45"/>
    <x v="270"/>
    <x v="25"/>
    <x v="2"/>
    <x v="1"/>
    <n v="129"/>
    <n v="4.7619047620000003"/>
    <n v="6.45"/>
    <n v="6.5"/>
  </r>
  <r>
    <s v="746-54-5508"/>
    <x v="1"/>
    <x v="1"/>
    <x v="1"/>
    <x v="0"/>
    <x v="3"/>
    <n v="21.52"/>
    <n v="6"/>
    <n v="6.4560000000000004"/>
    <x v="271"/>
    <x v="77"/>
    <x v="224"/>
    <x v="2"/>
    <n v="129.12"/>
    <n v="4.7619047620000003"/>
    <n v="6.4560000000000004"/>
    <n v="9.4"/>
  </r>
  <r>
    <s v="767-97-4650"/>
    <x v="0"/>
    <x v="1"/>
    <x v="0"/>
    <x v="1"/>
    <x v="0"/>
    <n v="64.83"/>
    <n v="2"/>
    <n v="6.4829999999999997"/>
    <x v="272"/>
    <x v="3"/>
    <x v="225"/>
    <x v="2"/>
    <n v="129.66"/>
    <n v="4.7619047620000003"/>
    <n v="6.4829999999999997"/>
    <n v="8"/>
  </r>
  <r>
    <s v="777-80-8729"/>
    <x v="2"/>
    <x v="1"/>
    <x v="0"/>
    <x v="0"/>
    <x v="0"/>
    <n v="64.83"/>
    <n v="2"/>
    <n v="6.4829999999999997"/>
    <x v="272"/>
    <x v="3"/>
    <x v="225"/>
    <x v="2"/>
    <n v="129.66"/>
    <n v="4.7619047620000003"/>
    <n v="6.4829999999999997"/>
    <n v="8"/>
  </r>
  <r>
    <s v="110-48-7033"/>
    <x v="2"/>
    <x v="1"/>
    <x v="0"/>
    <x v="0"/>
    <x v="1"/>
    <n v="32.619999999999997"/>
    <n v="4"/>
    <n v="6.524"/>
    <x v="273"/>
    <x v="38"/>
    <x v="226"/>
    <x v="0"/>
    <n v="130.47999999999999"/>
    <n v="4.7619047620000003"/>
    <n v="6.524"/>
    <n v="9"/>
  </r>
  <r>
    <s v="157-78-2667"/>
    <x v="0"/>
    <x v="0"/>
    <x v="0"/>
    <x v="0"/>
    <x v="2"/>
    <n v="65.650000000000006"/>
    <n v="2"/>
    <n v="6.5650000000000004"/>
    <x v="274"/>
    <x v="77"/>
    <x v="49"/>
    <x v="0"/>
    <n v="131.30000000000001"/>
    <n v="4.7619047620000003"/>
    <n v="6.5650000000000004"/>
    <n v="6"/>
  </r>
  <r>
    <s v="200-16-5952"/>
    <x v="0"/>
    <x v="1"/>
    <x v="0"/>
    <x v="0"/>
    <x v="2"/>
    <n v="65.650000000000006"/>
    <n v="2"/>
    <n v="6.5650000000000004"/>
    <x v="274"/>
    <x v="77"/>
    <x v="49"/>
    <x v="0"/>
    <n v="131.30000000000001"/>
    <n v="4.7619047620000003"/>
    <n v="6.5650000000000004"/>
    <n v="6"/>
  </r>
  <r>
    <s v="700-81-1757"/>
    <x v="1"/>
    <x v="2"/>
    <x v="1"/>
    <x v="0"/>
    <x v="5"/>
    <n v="26.31"/>
    <n v="5"/>
    <n v="6.5774999999999997"/>
    <x v="275"/>
    <x v="40"/>
    <x v="227"/>
    <x v="2"/>
    <n v="131.55000000000001"/>
    <n v="4.7619047620000003"/>
    <n v="6.5774999999999997"/>
    <n v="8.8000000000000007"/>
  </r>
  <r>
    <s v="893-92-0803"/>
    <x v="1"/>
    <x v="1"/>
    <x v="1"/>
    <x v="0"/>
    <x v="2"/>
    <n v="26.31"/>
    <n v="5"/>
    <n v="6.5774999999999997"/>
    <x v="275"/>
    <x v="40"/>
    <x v="227"/>
    <x v="2"/>
    <n v="131.55000000000001"/>
    <n v="4.7619047620000003"/>
    <n v="6.5774999999999997"/>
    <n v="8.8000000000000007"/>
  </r>
  <r>
    <s v="744-09-5786"/>
    <x v="0"/>
    <x v="1"/>
    <x v="1"/>
    <x v="0"/>
    <x v="5"/>
    <n v="22.01"/>
    <n v="6"/>
    <n v="6.6029999999999998"/>
    <x v="276"/>
    <x v="44"/>
    <x v="11"/>
    <x v="0"/>
    <n v="132.06"/>
    <n v="4.7619047620000003"/>
    <n v="6.6029999999999998"/>
    <n v="7.6"/>
  </r>
  <r>
    <s v="921-23-8893"/>
    <x v="2"/>
    <x v="1"/>
    <x v="1"/>
    <x v="0"/>
    <x v="2"/>
    <n v="22.01"/>
    <n v="6"/>
    <n v="6.6029999999999998"/>
    <x v="276"/>
    <x v="44"/>
    <x v="11"/>
    <x v="0"/>
    <n v="132.06"/>
    <n v="4.7619047620000003"/>
    <n v="6.6029999999999998"/>
    <n v="7.6"/>
  </r>
  <r>
    <s v="776-68-1096"/>
    <x v="2"/>
    <x v="1"/>
    <x v="1"/>
    <x v="0"/>
    <x v="3"/>
    <n v="44.12"/>
    <n v="3"/>
    <n v="6.6180000000000003"/>
    <x v="277"/>
    <x v="50"/>
    <x v="203"/>
    <x v="2"/>
    <n v="132.36000000000001"/>
    <n v="4.7619047620000003"/>
    <n v="6.6180000000000003"/>
    <n v="7.9"/>
  </r>
  <r>
    <s v="399-69-4630"/>
    <x v="0"/>
    <x v="0"/>
    <x v="1"/>
    <x v="0"/>
    <x v="5"/>
    <n v="22.21"/>
    <n v="6"/>
    <n v="6.6630000000000003"/>
    <x v="278"/>
    <x v="33"/>
    <x v="191"/>
    <x v="0"/>
    <n v="133.26"/>
    <n v="4.7619047620000003"/>
    <n v="6.6630000000000003"/>
    <n v="8.6"/>
  </r>
  <r>
    <s v="428-80-8087"/>
    <x v="0"/>
    <x v="0"/>
    <x v="1"/>
    <x v="0"/>
    <x v="5"/>
    <n v="22.21"/>
    <n v="6"/>
    <n v="6.6630000000000003"/>
    <x v="278"/>
    <x v="33"/>
    <x v="191"/>
    <x v="0"/>
    <n v="133.26"/>
    <n v="4.7619047620000003"/>
    <n v="6.6630000000000003"/>
    <n v="8.6"/>
  </r>
  <r>
    <s v="196-32-6798"/>
    <x v="0"/>
    <x v="0"/>
    <x v="1"/>
    <x v="0"/>
    <x v="5"/>
    <n v="22.21"/>
    <n v="6"/>
    <n v="6.6630000000000003"/>
    <x v="278"/>
    <x v="33"/>
    <x v="191"/>
    <x v="0"/>
    <n v="133.26"/>
    <n v="4.7619047620000003"/>
    <n v="6.6630000000000003"/>
    <n v="8.6"/>
  </r>
  <r>
    <s v="124-67-7661"/>
    <x v="0"/>
    <x v="0"/>
    <x v="1"/>
    <x v="0"/>
    <x v="5"/>
    <n v="22.21"/>
    <n v="6"/>
    <n v="6.6630000000000003"/>
    <x v="278"/>
    <x v="33"/>
    <x v="191"/>
    <x v="0"/>
    <n v="133.26"/>
    <n v="4.7619047620000003"/>
    <n v="6.6630000000000003"/>
    <n v="8.6"/>
  </r>
  <r>
    <s v="301-11-9629"/>
    <x v="0"/>
    <x v="2"/>
    <x v="1"/>
    <x v="1"/>
    <x v="0"/>
    <n v="19.100000000000001"/>
    <n v="7"/>
    <n v="6.6849999999999996"/>
    <x v="279"/>
    <x v="67"/>
    <x v="228"/>
    <x v="0"/>
    <n v="133.69999999999999"/>
    <n v="4.7619047620000003"/>
    <n v="6.6849999999999996"/>
    <n v="9.6999999999999993"/>
  </r>
  <r>
    <s v="318-59-2933"/>
    <x v="1"/>
    <x v="2"/>
    <x v="1"/>
    <x v="0"/>
    <x v="0"/>
    <n v="19.100000000000001"/>
    <n v="7"/>
    <n v="6.6849999999999996"/>
    <x v="279"/>
    <x v="67"/>
    <x v="228"/>
    <x v="0"/>
    <n v="133.69999999999999"/>
    <n v="4.7619047620000003"/>
    <n v="6.6849999999999996"/>
    <n v="9.6999999999999993"/>
  </r>
  <r>
    <s v="308-50-1652"/>
    <x v="1"/>
    <x v="2"/>
    <x v="1"/>
    <x v="1"/>
    <x v="0"/>
    <n v="19.100000000000001"/>
    <n v="7"/>
    <n v="6.6849999999999996"/>
    <x v="279"/>
    <x v="67"/>
    <x v="228"/>
    <x v="0"/>
    <n v="133.69999999999999"/>
    <n v="4.7619047620000003"/>
    <n v="6.6849999999999996"/>
    <n v="9.6999999999999993"/>
  </r>
  <r>
    <s v="625-76-0714"/>
    <x v="1"/>
    <x v="2"/>
    <x v="1"/>
    <x v="0"/>
    <x v="0"/>
    <n v="19.100000000000001"/>
    <n v="7"/>
    <n v="6.6849999999999996"/>
    <x v="279"/>
    <x v="67"/>
    <x v="228"/>
    <x v="0"/>
    <n v="133.69999999999999"/>
    <n v="4.7619047620000003"/>
    <n v="6.6849999999999996"/>
    <n v="9.6999999999999993"/>
  </r>
  <r>
    <s v="150-89-8043"/>
    <x v="1"/>
    <x v="1"/>
    <x v="1"/>
    <x v="0"/>
    <x v="0"/>
    <n v="44.65"/>
    <n v="3"/>
    <n v="6.6974999999999998"/>
    <x v="280"/>
    <x v="83"/>
    <x v="198"/>
    <x v="0"/>
    <n v="133.94999999999999"/>
    <n v="4.7619047620000003"/>
    <n v="6.6974999999999998"/>
    <n v="6.2"/>
  </r>
  <r>
    <s v="400-45-1220"/>
    <x v="2"/>
    <x v="1"/>
    <x v="1"/>
    <x v="1"/>
    <x v="4"/>
    <n v="13.5"/>
    <n v="10"/>
    <n v="6.75"/>
    <x v="281"/>
    <x v="46"/>
    <x v="229"/>
    <x v="0"/>
    <n v="135"/>
    <n v="4.7619047620000003"/>
    <n v="6.75"/>
    <n v="4.8"/>
  </r>
  <r>
    <s v="930-12-9311"/>
    <x v="0"/>
    <x v="1"/>
    <x v="1"/>
    <x v="0"/>
    <x v="4"/>
    <n v="13.5"/>
    <n v="10"/>
    <n v="6.75"/>
    <x v="281"/>
    <x v="46"/>
    <x v="229"/>
    <x v="0"/>
    <n v="135"/>
    <n v="4.7619047620000003"/>
    <n v="6.75"/>
    <n v="4.8"/>
  </r>
  <r>
    <s v="134-75-2619"/>
    <x v="0"/>
    <x v="2"/>
    <x v="0"/>
    <x v="0"/>
    <x v="5"/>
    <n v="19.32"/>
    <n v="7"/>
    <n v="6.7619999999999996"/>
    <x v="282"/>
    <x v="48"/>
    <x v="230"/>
    <x v="0"/>
    <n v="135.24"/>
    <n v="4.7619047620000003"/>
    <n v="6.7619999999999996"/>
    <n v="6.9"/>
  </r>
  <r>
    <s v="192-91-2002"/>
    <x v="1"/>
    <x v="2"/>
    <x v="0"/>
    <x v="0"/>
    <x v="5"/>
    <n v="19.32"/>
    <n v="7"/>
    <n v="6.7619999999999996"/>
    <x v="282"/>
    <x v="48"/>
    <x v="230"/>
    <x v="0"/>
    <n v="135.24"/>
    <n v="4.7619047620000003"/>
    <n v="6.7619999999999996"/>
    <n v="6.9"/>
  </r>
  <r>
    <s v="574-97-5784"/>
    <x v="1"/>
    <x v="2"/>
    <x v="1"/>
    <x v="0"/>
    <x v="1"/>
    <n v="45.38"/>
    <n v="3"/>
    <n v="6.8070000000000004"/>
    <x v="283"/>
    <x v="58"/>
    <x v="231"/>
    <x v="2"/>
    <n v="136.13999999999999"/>
    <n v="4.7619047620000003"/>
    <n v="6.8070000000000004"/>
    <n v="7.2"/>
  </r>
  <r>
    <s v="788-21-5741"/>
    <x v="0"/>
    <x v="2"/>
    <x v="1"/>
    <x v="0"/>
    <x v="1"/>
    <n v="45.38"/>
    <n v="3"/>
    <n v="6.8070000000000004"/>
    <x v="283"/>
    <x v="58"/>
    <x v="231"/>
    <x v="2"/>
    <n v="136.13999999999999"/>
    <n v="4.7619047620000003"/>
    <n v="6.8070000000000004"/>
    <n v="7.2"/>
  </r>
  <r>
    <s v="585-86-8361"/>
    <x v="1"/>
    <x v="1"/>
    <x v="1"/>
    <x v="1"/>
    <x v="2"/>
    <n v="27.28"/>
    <n v="5"/>
    <n v="6.82"/>
    <x v="284"/>
    <x v="52"/>
    <x v="232"/>
    <x v="2"/>
    <n v="136.4"/>
    <n v="4.7619047620000003"/>
    <n v="6.82"/>
    <n v="8.6"/>
  </r>
  <r>
    <s v="894-48-5508"/>
    <x v="1"/>
    <x v="1"/>
    <x v="1"/>
    <x v="0"/>
    <x v="2"/>
    <n v="27.28"/>
    <n v="5"/>
    <n v="6.82"/>
    <x v="284"/>
    <x v="52"/>
    <x v="232"/>
    <x v="2"/>
    <n v="136.4"/>
    <n v="4.7619047620000003"/>
    <n v="6.82"/>
    <n v="8.6"/>
  </r>
  <r>
    <s v="247-32-1577"/>
    <x v="2"/>
    <x v="1"/>
    <x v="1"/>
    <x v="0"/>
    <x v="5"/>
    <n v="45.71"/>
    <n v="3"/>
    <n v="6.8564999999999996"/>
    <x v="285"/>
    <x v="39"/>
    <x v="233"/>
    <x v="2"/>
    <n v="137.13"/>
    <n v="4.7619047620000003"/>
    <n v="6.8564999999999996"/>
    <n v="7.7"/>
  </r>
  <r>
    <s v="734-91-1155"/>
    <x v="0"/>
    <x v="1"/>
    <x v="1"/>
    <x v="1"/>
    <x v="5"/>
    <n v="45.71"/>
    <n v="3"/>
    <n v="6.8564999999999996"/>
    <x v="285"/>
    <x v="39"/>
    <x v="233"/>
    <x v="0"/>
    <n v="137.13"/>
    <n v="4.7619047620000003"/>
    <n v="6.8564999999999996"/>
    <n v="7.7"/>
  </r>
  <r>
    <s v="357-74-7437"/>
    <x v="0"/>
    <x v="0"/>
    <x v="1"/>
    <x v="0"/>
    <x v="1"/>
    <n v="45.74"/>
    <n v="3"/>
    <n v="6.8609999999999998"/>
    <x v="286"/>
    <x v="20"/>
    <x v="86"/>
    <x v="0"/>
    <n v="137.22"/>
    <n v="4.7619047620000003"/>
    <n v="6.8609999999999998"/>
    <n v="6.5"/>
  </r>
  <r>
    <s v="453-12-7053"/>
    <x v="0"/>
    <x v="0"/>
    <x v="1"/>
    <x v="0"/>
    <x v="1"/>
    <n v="45.74"/>
    <n v="3"/>
    <n v="6.8609999999999998"/>
    <x v="286"/>
    <x v="20"/>
    <x v="86"/>
    <x v="2"/>
    <n v="137.22"/>
    <n v="4.7619047620000003"/>
    <n v="6.8609999999999998"/>
    <n v="6.5"/>
  </r>
  <r>
    <s v="168-31-9704"/>
    <x v="0"/>
    <x v="0"/>
    <x v="1"/>
    <x v="0"/>
    <x v="2"/>
    <n v="45.74"/>
    <n v="3"/>
    <n v="6.8609999999999998"/>
    <x v="286"/>
    <x v="20"/>
    <x v="86"/>
    <x v="0"/>
    <n v="137.22"/>
    <n v="4.7619047620000003"/>
    <n v="6.8609999999999998"/>
    <n v="6.5"/>
  </r>
  <r>
    <s v="499-15-2322"/>
    <x v="2"/>
    <x v="1"/>
    <x v="1"/>
    <x v="0"/>
    <x v="0"/>
    <n v="23.01"/>
    <n v="6"/>
    <n v="6.9029999999999996"/>
    <x v="287"/>
    <x v="22"/>
    <x v="234"/>
    <x v="1"/>
    <n v="138.06"/>
    <n v="4.7619047620000003"/>
    <n v="6.9029999999999996"/>
    <n v="7.9"/>
  </r>
  <r>
    <s v="751-15-6198"/>
    <x v="2"/>
    <x v="1"/>
    <x v="1"/>
    <x v="0"/>
    <x v="0"/>
    <n v="23.01"/>
    <n v="6"/>
    <n v="6.9029999999999996"/>
    <x v="287"/>
    <x v="22"/>
    <x v="234"/>
    <x v="0"/>
    <n v="138.06"/>
    <n v="4.7619047620000003"/>
    <n v="6.9029999999999996"/>
    <n v="7.9"/>
  </r>
  <r>
    <s v="286-75-7818"/>
    <x v="0"/>
    <x v="1"/>
    <x v="1"/>
    <x v="0"/>
    <x v="1"/>
    <n v="69.08"/>
    <n v="2"/>
    <n v="6.9080000000000004"/>
    <x v="288"/>
    <x v="63"/>
    <x v="105"/>
    <x v="0"/>
    <n v="138.16"/>
    <n v="4.7619047620000003"/>
    <n v="6.9080000000000004"/>
    <n v="6.9"/>
  </r>
  <r>
    <s v="868-77-7172"/>
    <x v="2"/>
    <x v="1"/>
    <x v="1"/>
    <x v="0"/>
    <x v="2"/>
    <n v="69.08"/>
    <n v="2"/>
    <n v="6.9080000000000004"/>
    <x v="288"/>
    <x v="63"/>
    <x v="105"/>
    <x v="2"/>
    <n v="138.16"/>
    <n v="4.7619047620000003"/>
    <n v="6.9080000000000004"/>
    <n v="6.9"/>
  </r>
  <r>
    <s v="438-66-9253"/>
    <x v="1"/>
    <x v="1"/>
    <x v="1"/>
    <x v="0"/>
    <x v="2"/>
    <n v="69.08"/>
    <n v="2"/>
    <n v="6.9080000000000004"/>
    <x v="288"/>
    <x v="63"/>
    <x v="105"/>
    <x v="1"/>
    <n v="138.16"/>
    <n v="4.7619047620000003"/>
    <n v="6.9080000000000004"/>
    <n v="6.9"/>
  </r>
  <r>
    <s v="116-20-5701"/>
    <x v="2"/>
    <x v="1"/>
    <x v="0"/>
    <x v="0"/>
    <x v="0"/>
    <n v="23.08"/>
    <n v="6"/>
    <n v="6.9240000000000004"/>
    <x v="289"/>
    <x v="61"/>
    <x v="66"/>
    <x v="1"/>
    <n v="138.47999999999999"/>
    <n v="4.7619047620000003"/>
    <n v="6.9240000000000004"/>
    <n v="4.9000000000000004"/>
  </r>
  <r>
    <s v="510-79-0415"/>
    <x v="0"/>
    <x v="1"/>
    <x v="0"/>
    <x v="1"/>
    <x v="0"/>
    <n v="23.08"/>
    <n v="6"/>
    <n v="6.9240000000000004"/>
    <x v="289"/>
    <x v="61"/>
    <x v="66"/>
    <x v="1"/>
    <n v="138.47999999999999"/>
    <n v="4.7619047620000003"/>
    <n v="6.9240000000000004"/>
    <n v="4.9000000000000004"/>
  </r>
  <r>
    <s v="595-94-9924"/>
    <x v="1"/>
    <x v="1"/>
    <x v="0"/>
    <x v="1"/>
    <x v="4"/>
    <n v="27.73"/>
    <n v="5"/>
    <n v="6.9325000000000001"/>
    <x v="290"/>
    <x v="39"/>
    <x v="235"/>
    <x v="0"/>
    <n v="138.65"/>
    <n v="4.7619047620000003"/>
    <n v="6.9325000000000001"/>
    <n v="4.2"/>
  </r>
  <r>
    <s v="965-88-1267"/>
    <x v="1"/>
    <x v="1"/>
    <x v="0"/>
    <x v="1"/>
    <x v="4"/>
    <n v="27.73"/>
    <n v="5"/>
    <n v="6.9325000000000001"/>
    <x v="290"/>
    <x v="39"/>
    <x v="235"/>
    <x v="0"/>
    <n v="138.65"/>
    <n v="4.7619047620000003"/>
    <n v="6.9325000000000001"/>
    <n v="5.6"/>
  </r>
  <r>
    <s v="181-94-6432"/>
    <x v="0"/>
    <x v="1"/>
    <x v="1"/>
    <x v="0"/>
    <x v="1"/>
    <n v="69.33"/>
    <n v="2"/>
    <n v="6.9329999999999998"/>
    <x v="291"/>
    <x v="28"/>
    <x v="236"/>
    <x v="1"/>
    <n v="138.66"/>
    <n v="4.7619047620000003"/>
    <n v="6.9329999999999998"/>
    <n v="9.6999999999999993"/>
  </r>
  <r>
    <s v="620-02-2046"/>
    <x v="0"/>
    <x v="0"/>
    <x v="1"/>
    <x v="0"/>
    <x v="3"/>
    <n v="69.400000000000006"/>
    <n v="2"/>
    <n v="6.94"/>
    <x v="292"/>
    <x v="17"/>
    <x v="105"/>
    <x v="0"/>
    <n v="138.80000000000001"/>
    <n v="4.7619047620000003"/>
    <n v="6.94"/>
    <n v="9"/>
  </r>
  <r>
    <s v="451-24-1825"/>
    <x v="0"/>
    <x v="0"/>
    <x v="1"/>
    <x v="0"/>
    <x v="3"/>
    <n v="69.400000000000006"/>
    <n v="2"/>
    <n v="6.94"/>
    <x v="292"/>
    <x v="17"/>
    <x v="105"/>
    <x v="0"/>
    <n v="138.80000000000001"/>
    <n v="4.7619047620000003"/>
    <n v="6.94"/>
    <n v="5.7"/>
  </r>
  <r>
    <s v="207-73-1363"/>
    <x v="0"/>
    <x v="1"/>
    <x v="1"/>
    <x v="0"/>
    <x v="4"/>
    <n v="69.510000000000005"/>
    <n v="2"/>
    <n v="6.9509999999999996"/>
    <x v="293"/>
    <x v="47"/>
    <x v="237"/>
    <x v="1"/>
    <n v="139.02000000000001"/>
    <n v="4.7619047620000003"/>
    <n v="6.9509999999999996"/>
    <n v="8.1"/>
  </r>
  <r>
    <s v="656-16-1063"/>
    <x v="2"/>
    <x v="1"/>
    <x v="1"/>
    <x v="0"/>
    <x v="0"/>
    <n v="46.42"/>
    <n v="3"/>
    <n v="6.9630000000000001"/>
    <x v="294"/>
    <x v="72"/>
    <x v="87"/>
    <x v="2"/>
    <n v="139.26"/>
    <n v="4.7619047620000003"/>
    <n v="6.9630000000000001"/>
    <n v="4.4000000000000004"/>
  </r>
  <r>
    <s v="363-16-8216"/>
    <x v="2"/>
    <x v="0"/>
    <x v="1"/>
    <x v="0"/>
    <x v="0"/>
    <n v="46.42"/>
    <n v="3"/>
    <n v="6.9630000000000001"/>
    <x v="294"/>
    <x v="72"/>
    <x v="87"/>
    <x v="2"/>
    <n v="139.26"/>
    <n v="4.7619047620000003"/>
    <n v="6.9630000000000001"/>
    <n v="5.8"/>
  </r>
  <r>
    <s v="695-51-0018"/>
    <x v="2"/>
    <x v="1"/>
    <x v="1"/>
    <x v="0"/>
    <x v="0"/>
    <n v="34.840000000000003"/>
    <n v="4"/>
    <n v="6.968"/>
    <x v="295"/>
    <x v="64"/>
    <x v="238"/>
    <x v="0"/>
    <n v="139.36000000000001"/>
    <n v="4.7619047620000003"/>
    <n v="6.968"/>
    <n v="7.4"/>
  </r>
  <r>
    <s v="356-45-4621"/>
    <x v="1"/>
    <x v="2"/>
    <x v="0"/>
    <x v="0"/>
    <x v="0"/>
    <n v="27.93"/>
    <n v="5"/>
    <n v="6.9824999999999999"/>
    <x v="296"/>
    <x v="38"/>
    <x v="239"/>
    <x v="0"/>
    <n v="139.65"/>
    <n v="4.7619047620000003"/>
    <n v="6.9824999999999999"/>
    <n v="5.9"/>
  </r>
  <r>
    <s v="816-72-8853"/>
    <x v="0"/>
    <x v="2"/>
    <x v="0"/>
    <x v="1"/>
    <x v="0"/>
    <n v="27.93"/>
    <n v="5"/>
    <n v="6.9824999999999999"/>
    <x v="296"/>
    <x v="38"/>
    <x v="239"/>
    <x v="0"/>
    <n v="139.65"/>
    <n v="4.7619047620000003"/>
    <n v="6.9824999999999999"/>
    <n v="5.9"/>
  </r>
  <r>
    <s v="790-84-4083"/>
    <x v="0"/>
    <x v="2"/>
    <x v="0"/>
    <x v="0"/>
    <x v="2"/>
    <n v="27.93"/>
    <n v="5"/>
    <n v="6.9824999999999999"/>
    <x v="296"/>
    <x v="38"/>
    <x v="239"/>
    <x v="0"/>
    <n v="139.65"/>
    <n v="4.7619047620000003"/>
    <n v="6.9824999999999999"/>
    <n v="5.9"/>
  </r>
  <r>
    <s v="423-64-4619"/>
    <x v="1"/>
    <x v="1"/>
    <x v="1"/>
    <x v="1"/>
    <x v="4"/>
    <n v="15.55"/>
    <n v="9"/>
    <n v="6.9974999999999996"/>
    <x v="297"/>
    <x v="33"/>
    <x v="240"/>
    <x v="0"/>
    <n v="139.94999999999999"/>
    <n v="4.7619047620000003"/>
    <n v="6.9974999999999996"/>
    <n v="5"/>
  </r>
  <r>
    <s v="344-33-3154"/>
    <x v="0"/>
    <x v="1"/>
    <x v="1"/>
    <x v="0"/>
    <x v="4"/>
    <n v="15.55"/>
    <n v="9"/>
    <n v="6.9974999999999996"/>
    <x v="297"/>
    <x v="33"/>
    <x v="240"/>
    <x v="0"/>
    <n v="139.94999999999999"/>
    <n v="4.7619047620000003"/>
    <n v="6.9974999999999996"/>
    <n v="5"/>
  </r>
  <r>
    <s v="334-64-2006"/>
    <x v="0"/>
    <x v="2"/>
    <x v="0"/>
    <x v="1"/>
    <x v="3"/>
    <n v="70.319999999999993"/>
    <n v="2"/>
    <n v="7.032"/>
    <x v="298"/>
    <x v="73"/>
    <x v="241"/>
    <x v="0"/>
    <n v="140.63999999999999"/>
    <n v="4.7619047620000003"/>
    <n v="7.032"/>
    <n v="9.6"/>
  </r>
  <r>
    <s v="526-48-8142"/>
    <x v="0"/>
    <x v="2"/>
    <x v="0"/>
    <x v="1"/>
    <x v="2"/>
    <n v="70.319999999999993"/>
    <n v="2"/>
    <n v="7.032"/>
    <x v="298"/>
    <x v="73"/>
    <x v="241"/>
    <x v="0"/>
    <n v="140.63999999999999"/>
    <n v="4.7619047620000003"/>
    <n v="7.032"/>
    <n v="9.6"/>
  </r>
  <r>
    <s v="249-55-8702"/>
    <x v="1"/>
    <x v="2"/>
    <x v="1"/>
    <x v="0"/>
    <x v="5"/>
    <n v="23.46"/>
    <n v="6"/>
    <n v="7.0380000000000003"/>
    <x v="299"/>
    <x v="75"/>
    <x v="242"/>
    <x v="1"/>
    <n v="140.76"/>
    <n v="4.7619047620000003"/>
    <n v="7.0380000000000003"/>
    <n v="6.4"/>
  </r>
  <r>
    <s v="459-50-7686"/>
    <x v="0"/>
    <x v="2"/>
    <x v="1"/>
    <x v="1"/>
    <x v="5"/>
    <n v="23.46"/>
    <n v="6"/>
    <n v="7.0380000000000003"/>
    <x v="299"/>
    <x v="75"/>
    <x v="242"/>
    <x v="1"/>
    <n v="140.76"/>
    <n v="4.7619047620000003"/>
    <n v="7.0380000000000003"/>
    <n v="6.4"/>
  </r>
  <r>
    <s v="892-05-6689"/>
    <x v="0"/>
    <x v="1"/>
    <x v="1"/>
    <x v="1"/>
    <x v="2"/>
    <n v="28.32"/>
    <n v="5"/>
    <n v="7.08"/>
    <x v="300"/>
    <x v="79"/>
    <x v="243"/>
    <x v="1"/>
    <n v="141.6"/>
    <n v="4.7619047620000003"/>
    <n v="7.08"/>
    <n v="6.2"/>
  </r>
  <r>
    <s v="808-65-0703"/>
    <x v="0"/>
    <x v="1"/>
    <x v="1"/>
    <x v="0"/>
    <x v="3"/>
    <n v="35.47"/>
    <n v="4"/>
    <n v="7.0940000000000003"/>
    <x v="301"/>
    <x v="45"/>
    <x v="244"/>
    <x v="2"/>
    <n v="141.88"/>
    <n v="4.7619047620000003"/>
    <n v="7.0940000000000003"/>
    <n v="6.9"/>
  </r>
  <r>
    <s v="715-20-1673"/>
    <x v="2"/>
    <x v="1"/>
    <x v="1"/>
    <x v="0"/>
    <x v="5"/>
    <n v="28.38"/>
    <n v="5"/>
    <n v="7.0949999999999998"/>
    <x v="302"/>
    <x v="37"/>
    <x v="245"/>
    <x v="0"/>
    <n v="141.9"/>
    <n v="4.7619047620000003"/>
    <n v="7.0949999999999998"/>
    <n v="9.4"/>
  </r>
  <r>
    <s v="922-90-2399"/>
    <x v="2"/>
    <x v="1"/>
    <x v="1"/>
    <x v="0"/>
    <x v="2"/>
    <n v="28.38"/>
    <n v="5"/>
    <n v="7.0949999999999998"/>
    <x v="302"/>
    <x v="37"/>
    <x v="245"/>
    <x v="0"/>
    <n v="141.9"/>
    <n v="4.7619047620000003"/>
    <n v="7.0949999999999998"/>
    <n v="9.4"/>
  </r>
  <r>
    <s v="527-09-6272"/>
    <x v="1"/>
    <x v="1"/>
    <x v="1"/>
    <x v="1"/>
    <x v="5"/>
    <n v="28.45"/>
    <n v="5"/>
    <n v="7.1124999999999998"/>
    <x v="303"/>
    <x v="78"/>
    <x v="182"/>
    <x v="2"/>
    <n v="142.25"/>
    <n v="4.7619047620000003"/>
    <n v="7.1124999999999998"/>
    <n v="9.1"/>
  </r>
  <r>
    <s v="826-68-2017"/>
    <x v="1"/>
    <x v="2"/>
    <x v="0"/>
    <x v="0"/>
    <x v="5"/>
    <n v="28.45"/>
    <n v="5"/>
    <n v="7.1124999999999998"/>
    <x v="303"/>
    <x v="78"/>
    <x v="182"/>
    <x v="2"/>
    <n v="142.25"/>
    <n v="4.7619047620000003"/>
    <n v="7.1124999999999998"/>
    <n v="9.1"/>
  </r>
  <r>
    <s v="166-75-6386"/>
    <x v="0"/>
    <x v="0"/>
    <x v="1"/>
    <x v="0"/>
    <x v="5"/>
    <n v="47.65"/>
    <n v="3"/>
    <n v="7.1475"/>
    <x v="304"/>
    <x v="70"/>
    <x v="187"/>
    <x v="2"/>
    <n v="142.94999999999999"/>
    <n v="4.7619047620000003"/>
    <n v="7.1475"/>
    <n v="9.5"/>
  </r>
  <r>
    <s v="633-09-3463"/>
    <x v="0"/>
    <x v="1"/>
    <x v="1"/>
    <x v="1"/>
    <x v="5"/>
    <n v="47.65"/>
    <n v="3"/>
    <n v="7.1475"/>
    <x v="304"/>
    <x v="70"/>
    <x v="187"/>
    <x v="2"/>
    <n v="142.94999999999999"/>
    <n v="4.7619047620000003"/>
    <n v="7.1475"/>
    <n v="9.5"/>
  </r>
  <r>
    <s v="955-35-4564"/>
    <x v="0"/>
    <x v="0"/>
    <x v="1"/>
    <x v="1"/>
    <x v="5"/>
    <n v="47.65"/>
    <n v="3"/>
    <n v="7.1475"/>
    <x v="304"/>
    <x v="70"/>
    <x v="187"/>
    <x v="2"/>
    <n v="142.94999999999999"/>
    <n v="4.7619047620000003"/>
    <n v="7.1475"/>
    <n v="5.9"/>
  </r>
  <r>
    <s v="373-14-0504"/>
    <x v="1"/>
    <x v="1"/>
    <x v="0"/>
    <x v="1"/>
    <x v="0"/>
    <n v="71.63"/>
    <n v="2"/>
    <n v="7.1630000000000003"/>
    <x v="305"/>
    <x v="41"/>
    <x v="246"/>
    <x v="0"/>
    <n v="143.26"/>
    <n v="4.7619047620000003"/>
    <n v="7.1630000000000003"/>
    <n v="8.8000000000000007"/>
  </r>
  <r>
    <s v="460-32-8446"/>
    <x v="1"/>
    <x v="2"/>
    <x v="0"/>
    <x v="0"/>
    <x v="0"/>
    <n v="71.63"/>
    <n v="2"/>
    <n v="7.1630000000000003"/>
    <x v="305"/>
    <x v="41"/>
    <x v="246"/>
    <x v="1"/>
    <n v="143.26"/>
    <n v="4.7619047620000003"/>
    <n v="7.1630000000000003"/>
    <n v="8.8000000000000007"/>
  </r>
  <r>
    <s v="596-85-7719"/>
    <x v="0"/>
    <x v="1"/>
    <x v="0"/>
    <x v="1"/>
    <x v="2"/>
    <n v="71.63"/>
    <n v="2"/>
    <n v="7.1630000000000003"/>
    <x v="305"/>
    <x v="41"/>
    <x v="246"/>
    <x v="0"/>
    <n v="143.26"/>
    <n v="4.7619047620000003"/>
    <n v="7.1630000000000003"/>
    <n v="8.8000000000000007"/>
  </r>
  <r>
    <s v="110-37-6551"/>
    <x v="0"/>
    <x v="0"/>
    <x v="1"/>
    <x v="0"/>
    <x v="0"/>
    <n v="14.36"/>
    <n v="10"/>
    <n v="7.18"/>
    <x v="306"/>
    <x v="17"/>
    <x v="247"/>
    <x v="0"/>
    <n v="143.6"/>
    <n v="4.7619047620000003"/>
    <n v="7.18"/>
    <n v="5.4"/>
  </r>
  <r>
    <s v="613-59-9758"/>
    <x v="0"/>
    <x v="1"/>
    <x v="1"/>
    <x v="1"/>
    <x v="0"/>
    <n v="14.36"/>
    <n v="10"/>
    <n v="7.18"/>
    <x v="306"/>
    <x v="17"/>
    <x v="247"/>
    <x v="0"/>
    <n v="143.6"/>
    <n v="4.7619047620000003"/>
    <n v="7.18"/>
    <n v="5.4"/>
  </r>
  <r>
    <s v="329-82-8993"/>
    <x v="0"/>
    <x v="1"/>
    <x v="1"/>
    <x v="1"/>
    <x v="0"/>
    <n v="14.36"/>
    <n v="10"/>
    <n v="7.18"/>
    <x v="306"/>
    <x v="17"/>
    <x v="247"/>
    <x v="0"/>
    <n v="143.6"/>
    <n v="4.7619047620000003"/>
    <n v="7.18"/>
    <n v="6"/>
  </r>
  <r>
    <s v="198-66-9832"/>
    <x v="0"/>
    <x v="1"/>
    <x v="0"/>
    <x v="1"/>
    <x v="1"/>
    <n v="72.040000000000006"/>
    <n v="2"/>
    <n v="7.2039999999999997"/>
    <x v="307"/>
    <x v="4"/>
    <x v="248"/>
    <x v="0"/>
    <n v="144.08000000000001"/>
    <n v="4.7619047620000003"/>
    <n v="7.2039999999999997"/>
    <n v="9.5"/>
  </r>
  <r>
    <s v="733-46-6542"/>
    <x v="2"/>
    <x v="1"/>
    <x v="0"/>
    <x v="0"/>
    <x v="1"/>
    <n v="72.040000000000006"/>
    <n v="2"/>
    <n v="7.2039999999999997"/>
    <x v="307"/>
    <x v="4"/>
    <x v="248"/>
    <x v="0"/>
    <n v="144.08000000000001"/>
    <n v="4.7619047620000003"/>
    <n v="7.2039999999999997"/>
    <n v="9.5"/>
  </r>
  <r>
    <s v="378-07-7001"/>
    <x v="2"/>
    <x v="1"/>
    <x v="1"/>
    <x v="0"/>
    <x v="5"/>
    <n v="48.09"/>
    <n v="3"/>
    <n v="7.2134999999999998"/>
    <x v="308"/>
    <x v="64"/>
    <x v="190"/>
    <x v="0"/>
    <n v="144.27000000000001"/>
    <n v="4.7619047620000003"/>
    <n v="7.2134999999999998"/>
    <n v="7.8"/>
  </r>
  <r>
    <s v="752-18-3113"/>
    <x v="2"/>
    <x v="1"/>
    <x v="0"/>
    <x v="0"/>
    <x v="5"/>
    <n v="48.09"/>
    <n v="3"/>
    <n v="7.2134999999999998"/>
    <x v="308"/>
    <x v="64"/>
    <x v="190"/>
    <x v="2"/>
    <n v="144.27000000000001"/>
    <n v="4.7619047620000003"/>
    <n v="7.2134999999999998"/>
    <n v="7.8"/>
  </r>
  <r>
    <s v="270-60-8045"/>
    <x v="0"/>
    <x v="1"/>
    <x v="1"/>
    <x v="0"/>
    <x v="2"/>
    <n v="48.09"/>
    <n v="3"/>
    <n v="7.2134999999999998"/>
    <x v="308"/>
    <x v="64"/>
    <x v="190"/>
    <x v="0"/>
    <n v="144.27000000000001"/>
    <n v="4.7619047620000003"/>
    <n v="7.2134999999999998"/>
    <n v="7.8"/>
  </r>
  <r>
    <s v="120-54-2248"/>
    <x v="2"/>
    <x v="1"/>
    <x v="1"/>
    <x v="1"/>
    <x v="2"/>
    <n v="28.86"/>
    <n v="5"/>
    <n v="7.2149999999999999"/>
    <x v="309"/>
    <x v="81"/>
    <x v="118"/>
    <x v="2"/>
    <n v="144.30000000000001"/>
    <n v="4.7619047620000003"/>
    <n v="7.2149999999999999"/>
    <n v="8"/>
  </r>
  <r>
    <s v="491-68-4982"/>
    <x v="2"/>
    <x v="1"/>
    <x v="1"/>
    <x v="0"/>
    <x v="2"/>
    <n v="28.86"/>
    <n v="5"/>
    <n v="7.2149999999999999"/>
    <x v="309"/>
    <x v="81"/>
    <x v="118"/>
    <x v="2"/>
    <n v="144.30000000000001"/>
    <n v="4.7619047620000003"/>
    <n v="7.2149999999999999"/>
    <n v="8"/>
  </r>
  <r>
    <s v="355-34-6244"/>
    <x v="0"/>
    <x v="1"/>
    <x v="1"/>
    <x v="0"/>
    <x v="2"/>
    <n v="72.39"/>
    <n v="2"/>
    <n v="7.2389999999999999"/>
    <x v="310"/>
    <x v="75"/>
    <x v="42"/>
    <x v="0"/>
    <n v="144.78"/>
    <n v="4.7619047620000003"/>
    <n v="7.2389999999999999"/>
    <n v="8.1"/>
  </r>
  <r>
    <s v="669-83-1048"/>
    <x v="2"/>
    <x v="1"/>
    <x v="1"/>
    <x v="0"/>
    <x v="2"/>
    <n v="72.39"/>
    <n v="2"/>
    <n v="7.2389999999999999"/>
    <x v="310"/>
    <x v="75"/>
    <x v="42"/>
    <x v="2"/>
    <n v="144.78"/>
    <n v="4.7619047620000003"/>
    <n v="7.2389999999999999"/>
    <n v="8.1"/>
  </r>
  <r>
    <s v="826-50-2389"/>
    <x v="0"/>
    <x v="1"/>
    <x v="1"/>
    <x v="0"/>
    <x v="2"/>
    <n v="72.39"/>
    <n v="2"/>
    <n v="7.2389999999999999"/>
    <x v="310"/>
    <x v="75"/>
    <x v="42"/>
    <x v="0"/>
    <n v="144.78"/>
    <n v="4.7619047620000003"/>
    <n v="7.2389999999999999"/>
    <n v="8.1"/>
  </r>
  <r>
    <s v="254-36-7196"/>
    <x v="2"/>
    <x v="0"/>
    <x v="1"/>
    <x v="0"/>
    <x v="2"/>
    <n v="72.39"/>
    <n v="2"/>
    <n v="7.2389999999999999"/>
    <x v="310"/>
    <x v="75"/>
    <x v="42"/>
    <x v="2"/>
    <n v="144.78"/>
    <n v="4.7619047620000003"/>
    <n v="7.2389999999999999"/>
    <n v="6.1"/>
  </r>
  <r>
    <s v="340-66-0321"/>
    <x v="1"/>
    <x v="1"/>
    <x v="1"/>
    <x v="0"/>
    <x v="5"/>
    <n v="36.36"/>
    <n v="4"/>
    <n v="7.2720000000000002"/>
    <x v="311"/>
    <x v="48"/>
    <x v="175"/>
    <x v="0"/>
    <n v="145.44"/>
    <n v="4.7619047620000003"/>
    <n v="7.2720000000000002"/>
    <n v="7.6"/>
  </r>
  <r>
    <s v="397-51-8516"/>
    <x v="1"/>
    <x v="2"/>
    <x v="0"/>
    <x v="0"/>
    <x v="5"/>
    <n v="36.36"/>
    <n v="4"/>
    <n v="7.2720000000000002"/>
    <x v="311"/>
    <x v="48"/>
    <x v="175"/>
    <x v="0"/>
    <n v="145.44"/>
    <n v="4.7619047620000003"/>
    <n v="7.2720000000000002"/>
    <n v="7.6"/>
  </r>
  <r>
    <s v="981-25-6319"/>
    <x v="1"/>
    <x v="1"/>
    <x v="1"/>
    <x v="0"/>
    <x v="2"/>
    <n v="36.36"/>
    <n v="4"/>
    <n v="7.2720000000000002"/>
    <x v="311"/>
    <x v="48"/>
    <x v="175"/>
    <x v="0"/>
    <n v="145.44"/>
    <n v="4.7619047620000003"/>
    <n v="7.2720000000000002"/>
    <n v="7.6"/>
  </r>
  <r>
    <s v="448-61-3212"/>
    <x v="0"/>
    <x v="2"/>
    <x v="0"/>
    <x v="0"/>
    <x v="5"/>
    <n v="36.36"/>
    <n v="4"/>
    <n v="7.2720000000000002"/>
    <x v="311"/>
    <x v="48"/>
    <x v="175"/>
    <x v="0"/>
    <n v="145.44"/>
    <n v="4.7619047620000003"/>
    <n v="7.2720000000000002"/>
    <n v="7.6"/>
  </r>
  <r>
    <s v="387-49-4215"/>
    <x v="0"/>
    <x v="1"/>
    <x v="0"/>
    <x v="1"/>
    <x v="0"/>
    <n v="48.5"/>
    <n v="3"/>
    <n v="7.2750000000000004"/>
    <x v="312"/>
    <x v="3"/>
    <x v="120"/>
    <x v="0"/>
    <n v="145.5"/>
    <n v="4.7619047620000003"/>
    <n v="7.2750000000000004"/>
    <n v="6.7"/>
  </r>
  <r>
    <s v="558-47-2286"/>
    <x v="2"/>
    <x v="1"/>
    <x v="0"/>
    <x v="0"/>
    <x v="0"/>
    <n v="48.5"/>
    <n v="3"/>
    <n v="7.2750000000000004"/>
    <x v="312"/>
    <x v="3"/>
    <x v="120"/>
    <x v="0"/>
    <n v="145.5"/>
    <n v="4.7619047620000003"/>
    <n v="7.2750000000000004"/>
    <n v="6.7"/>
  </r>
  <r>
    <s v="691-72-3196"/>
    <x v="0"/>
    <x v="1"/>
    <x v="0"/>
    <x v="0"/>
    <x v="0"/>
    <n v="48.5"/>
    <n v="3"/>
    <n v="7.2750000000000004"/>
    <x v="312"/>
    <x v="3"/>
    <x v="120"/>
    <x v="0"/>
    <n v="145.5"/>
    <n v="4.7619047620000003"/>
    <n v="7.2750000000000004"/>
    <n v="6.7"/>
  </r>
  <r>
    <s v="168-44-9886"/>
    <x v="2"/>
    <x v="1"/>
    <x v="0"/>
    <x v="1"/>
    <x v="2"/>
    <n v="48.52"/>
    <n v="3"/>
    <n v="7.2779999999999996"/>
    <x v="313"/>
    <x v="53"/>
    <x v="249"/>
    <x v="1"/>
    <n v="145.56"/>
    <n v="4.7619047620000003"/>
    <n v="7.2779999999999996"/>
    <n v="4"/>
  </r>
  <r>
    <s v="510-95-6347"/>
    <x v="2"/>
    <x v="1"/>
    <x v="0"/>
    <x v="0"/>
    <x v="2"/>
    <n v="48.52"/>
    <n v="3"/>
    <n v="7.2779999999999996"/>
    <x v="313"/>
    <x v="53"/>
    <x v="249"/>
    <x v="1"/>
    <n v="145.56"/>
    <n v="4.7619047620000003"/>
    <n v="7.2779999999999996"/>
    <n v="4"/>
  </r>
  <r>
    <s v="173-57-2300"/>
    <x v="0"/>
    <x v="0"/>
    <x v="0"/>
    <x v="0"/>
    <x v="0"/>
    <n v="72.88"/>
    <n v="2"/>
    <n v="7.2880000000000003"/>
    <x v="314"/>
    <x v="57"/>
    <x v="143"/>
    <x v="0"/>
    <n v="145.76"/>
    <n v="4.7619047620000003"/>
    <n v="7.2880000000000003"/>
    <n v="6.1"/>
  </r>
  <r>
    <s v="648-73-9357"/>
    <x v="0"/>
    <x v="0"/>
    <x v="0"/>
    <x v="0"/>
    <x v="0"/>
    <n v="72.88"/>
    <n v="2"/>
    <n v="7.2880000000000003"/>
    <x v="314"/>
    <x v="57"/>
    <x v="143"/>
    <x v="0"/>
    <n v="145.76"/>
    <n v="4.7619047620000003"/>
    <n v="7.2880000000000003"/>
    <n v="6.1"/>
  </r>
  <r>
    <s v="885-19-1416"/>
    <x v="0"/>
    <x v="0"/>
    <x v="0"/>
    <x v="0"/>
    <x v="0"/>
    <n v="72.88"/>
    <n v="2"/>
    <n v="7.2880000000000003"/>
    <x v="314"/>
    <x v="57"/>
    <x v="143"/>
    <x v="0"/>
    <n v="145.76"/>
    <n v="4.7619047620000003"/>
    <n v="7.2880000000000003"/>
    <n v="6.2"/>
  </r>
  <r>
    <s v="153-77-6188"/>
    <x v="0"/>
    <x v="0"/>
    <x v="1"/>
    <x v="1"/>
    <x v="2"/>
    <n v="16.309999999999999"/>
    <n v="9"/>
    <n v="7.3395000000000001"/>
    <x v="315"/>
    <x v="39"/>
    <x v="232"/>
    <x v="1"/>
    <n v="146.79"/>
    <n v="4.7619047620000003"/>
    <n v="7.3395000000000001"/>
    <n v="8.4"/>
  </r>
  <r>
    <s v="236-27-1144"/>
    <x v="0"/>
    <x v="0"/>
    <x v="1"/>
    <x v="1"/>
    <x v="2"/>
    <n v="16.309999999999999"/>
    <n v="9"/>
    <n v="7.3395000000000001"/>
    <x v="315"/>
    <x v="39"/>
    <x v="232"/>
    <x v="1"/>
    <n v="146.79"/>
    <n v="4.7619047620000003"/>
    <n v="7.3395000000000001"/>
    <n v="8.4"/>
  </r>
  <r>
    <s v="437-58-8131"/>
    <x v="2"/>
    <x v="1"/>
    <x v="1"/>
    <x v="0"/>
    <x v="1"/>
    <n v="73.52"/>
    <n v="2"/>
    <n v="7.3520000000000003"/>
    <x v="316"/>
    <x v="67"/>
    <x v="169"/>
    <x v="0"/>
    <n v="147.04"/>
    <n v="4.7619047620000003"/>
    <n v="7.3520000000000003"/>
    <n v="4.5999999999999996"/>
  </r>
  <r>
    <s v="599-29-6955"/>
    <x v="0"/>
    <x v="1"/>
    <x v="1"/>
    <x v="0"/>
    <x v="1"/>
    <n v="73.52"/>
    <n v="2"/>
    <n v="7.3520000000000003"/>
    <x v="316"/>
    <x v="67"/>
    <x v="169"/>
    <x v="0"/>
    <n v="147.04"/>
    <n v="4.7619047620000003"/>
    <n v="7.3520000000000003"/>
    <n v="4.5999999999999996"/>
  </r>
  <r>
    <s v="586-47-7591"/>
    <x v="2"/>
    <x v="1"/>
    <x v="0"/>
    <x v="0"/>
    <x v="1"/>
    <n v="29.56"/>
    <n v="5"/>
    <n v="7.39"/>
    <x v="317"/>
    <x v="25"/>
    <x v="250"/>
    <x v="0"/>
    <n v="147.80000000000001"/>
    <n v="4.7619047620000003"/>
    <n v="7.39"/>
    <n v="6.9"/>
  </r>
  <r>
    <s v="767-54-1907"/>
    <x v="0"/>
    <x v="1"/>
    <x v="0"/>
    <x v="1"/>
    <x v="1"/>
    <n v="29.56"/>
    <n v="5"/>
    <n v="7.39"/>
    <x v="317"/>
    <x v="25"/>
    <x v="250"/>
    <x v="0"/>
    <n v="147.80000000000001"/>
    <n v="4.7619047620000003"/>
    <n v="7.39"/>
    <n v="6.9"/>
  </r>
  <r>
    <s v="365-24-4797"/>
    <x v="0"/>
    <x v="0"/>
    <x v="0"/>
    <x v="0"/>
    <x v="5"/>
    <n v="37.06"/>
    <n v="4"/>
    <n v="7.4119999999999999"/>
    <x v="318"/>
    <x v="63"/>
    <x v="251"/>
    <x v="0"/>
    <n v="148.24"/>
    <n v="4.7619047620000003"/>
    <n v="7.4119999999999999"/>
    <n v="9.6999999999999993"/>
  </r>
  <r>
    <s v="583-72-1480"/>
    <x v="0"/>
    <x v="0"/>
    <x v="0"/>
    <x v="0"/>
    <x v="5"/>
    <n v="37.06"/>
    <n v="4"/>
    <n v="7.4119999999999999"/>
    <x v="318"/>
    <x v="63"/>
    <x v="251"/>
    <x v="1"/>
    <n v="148.24"/>
    <n v="4.7619047620000003"/>
    <n v="7.4119999999999999"/>
    <n v="9.6999999999999993"/>
  </r>
  <r>
    <s v="906-93-5636"/>
    <x v="0"/>
    <x v="0"/>
    <x v="0"/>
    <x v="0"/>
    <x v="2"/>
    <n v="37.06"/>
    <n v="4"/>
    <n v="7.4119999999999999"/>
    <x v="318"/>
    <x v="63"/>
    <x v="251"/>
    <x v="0"/>
    <n v="148.24"/>
    <n v="4.7619047620000003"/>
    <n v="7.4119999999999999"/>
    <n v="9.6999999999999993"/>
  </r>
  <r>
    <s v="316-52-7353"/>
    <x v="1"/>
    <x v="2"/>
    <x v="1"/>
    <x v="0"/>
    <x v="1"/>
    <n v="37.15"/>
    <n v="4"/>
    <n v="7.43"/>
    <x v="319"/>
    <x v="19"/>
    <x v="252"/>
    <x v="0"/>
    <n v="148.6"/>
    <n v="4.7619047620000003"/>
    <n v="7.43"/>
    <n v="8.3000000000000007"/>
  </r>
  <r>
    <s v="795-49-7276"/>
    <x v="0"/>
    <x v="2"/>
    <x v="1"/>
    <x v="0"/>
    <x v="1"/>
    <n v="37.15"/>
    <n v="4"/>
    <n v="7.43"/>
    <x v="319"/>
    <x v="19"/>
    <x v="252"/>
    <x v="1"/>
    <n v="148.6"/>
    <n v="4.7619047620000003"/>
    <n v="7.43"/>
    <n v="8.3000000000000007"/>
  </r>
  <r>
    <s v="443-51-3859"/>
    <x v="1"/>
    <x v="2"/>
    <x v="1"/>
    <x v="0"/>
    <x v="1"/>
    <n v="37.15"/>
    <n v="4"/>
    <n v="7.43"/>
    <x v="319"/>
    <x v="19"/>
    <x v="252"/>
    <x v="0"/>
    <n v="148.6"/>
    <n v="4.7619047620000003"/>
    <n v="7.43"/>
    <n v="8.3000000000000007"/>
  </r>
  <r>
    <s v="287-83-1405"/>
    <x v="0"/>
    <x v="2"/>
    <x v="1"/>
    <x v="0"/>
    <x v="4"/>
    <n v="25.43"/>
    <n v="6"/>
    <n v="7.6289999999999996"/>
    <x v="320"/>
    <x v="41"/>
    <x v="253"/>
    <x v="0"/>
    <n v="152.58000000000001"/>
    <n v="4.7619047620000003"/>
    <n v="7.6289999999999996"/>
    <n v="7"/>
  </r>
  <r>
    <s v="293-32-5996"/>
    <x v="1"/>
    <x v="2"/>
    <x v="1"/>
    <x v="0"/>
    <x v="2"/>
    <n v="25.43"/>
    <n v="6"/>
    <n v="7.6289999999999996"/>
    <x v="320"/>
    <x v="41"/>
    <x v="253"/>
    <x v="1"/>
    <n v="152.58000000000001"/>
    <n v="4.7619047620000003"/>
    <n v="7.6289999999999996"/>
    <n v="7"/>
  </r>
  <r>
    <s v="423-80-0988"/>
    <x v="0"/>
    <x v="0"/>
    <x v="1"/>
    <x v="0"/>
    <x v="0"/>
    <n v="76.400000000000006"/>
    <n v="2"/>
    <n v="7.64"/>
    <x v="321"/>
    <x v="15"/>
    <x v="159"/>
    <x v="0"/>
    <n v="152.80000000000001"/>
    <n v="4.7619047620000003"/>
    <n v="7.64"/>
    <n v="6.5"/>
  </r>
  <r>
    <s v="998-32-4758"/>
    <x v="0"/>
    <x v="0"/>
    <x v="1"/>
    <x v="0"/>
    <x v="0"/>
    <n v="76.400000000000006"/>
    <n v="2"/>
    <n v="7.64"/>
    <x v="321"/>
    <x v="15"/>
    <x v="159"/>
    <x v="0"/>
    <n v="152.80000000000001"/>
    <n v="4.7619047620000003"/>
    <n v="7.64"/>
    <n v="6.5"/>
  </r>
  <r>
    <s v="655-85-5130"/>
    <x v="2"/>
    <x v="1"/>
    <x v="0"/>
    <x v="0"/>
    <x v="1"/>
    <n v="38.299999999999997"/>
    <n v="4"/>
    <n v="7.66"/>
    <x v="322"/>
    <x v="57"/>
    <x v="254"/>
    <x v="0"/>
    <n v="153.19999999999999"/>
    <n v="4.7619047620000003"/>
    <n v="7.66"/>
    <n v="5.7"/>
  </r>
  <r>
    <s v="697-56-3157"/>
    <x v="2"/>
    <x v="0"/>
    <x v="0"/>
    <x v="0"/>
    <x v="1"/>
    <n v="38.299999999999997"/>
    <n v="4"/>
    <n v="7.66"/>
    <x v="322"/>
    <x v="57"/>
    <x v="254"/>
    <x v="0"/>
    <n v="153.19999999999999"/>
    <n v="4.7619047620000003"/>
    <n v="7.66"/>
    <n v="6.3"/>
  </r>
  <r>
    <s v="873-51-0671"/>
    <x v="1"/>
    <x v="1"/>
    <x v="0"/>
    <x v="0"/>
    <x v="2"/>
    <n v="21.98"/>
    <n v="7"/>
    <n v="7.6929999999999996"/>
    <x v="323"/>
    <x v="56"/>
    <x v="255"/>
    <x v="1"/>
    <n v="153.86000000000001"/>
    <n v="4.7619047620000003"/>
    <n v="7.6929999999999996"/>
    <n v="5.0999999999999996"/>
  </r>
  <r>
    <s v="480-63-2856"/>
    <x v="0"/>
    <x v="0"/>
    <x v="1"/>
    <x v="0"/>
    <x v="2"/>
    <n v="19.25"/>
    <n v="8"/>
    <n v="7.7"/>
    <x v="324"/>
    <x v="27"/>
    <x v="219"/>
    <x v="1"/>
    <n v="154"/>
    <n v="4.7619047620000003"/>
    <n v="7.7"/>
    <n v="6.6"/>
  </r>
  <r>
    <s v="550-39-2261"/>
    <x v="0"/>
    <x v="0"/>
    <x v="1"/>
    <x v="0"/>
    <x v="2"/>
    <n v="19.25"/>
    <n v="8"/>
    <n v="7.7"/>
    <x v="324"/>
    <x v="27"/>
    <x v="219"/>
    <x v="1"/>
    <n v="154"/>
    <n v="4.7619047620000003"/>
    <n v="7.7"/>
    <n v="6.6"/>
  </r>
  <r>
    <s v="851-28-6367"/>
    <x v="1"/>
    <x v="2"/>
    <x v="0"/>
    <x v="0"/>
    <x v="2"/>
    <n v="15.5"/>
    <n v="10"/>
    <n v="7.75"/>
    <x v="325"/>
    <x v="19"/>
    <x v="256"/>
    <x v="1"/>
    <n v="155"/>
    <n v="4.7619047620000003"/>
    <n v="7.75"/>
    <n v="8"/>
  </r>
  <r>
    <s v="701-23-5550"/>
    <x v="0"/>
    <x v="1"/>
    <x v="0"/>
    <x v="0"/>
    <x v="3"/>
    <n v="38.81"/>
    <n v="4"/>
    <n v="7.7619999999999996"/>
    <x v="326"/>
    <x v="7"/>
    <x v="257"/>
    <x v="1"/>
    <n v="155.24"/>
    <n v="4.7619047620000003"/>
    <n v="7.7619999999999996"/>
    <n v="4.9000000000000004"/>
  </r>
  <r>
    <s v="729-09-9681"/>
    <x v="1"/>
    <x v="1"/>
    <x v="0"/>
    <x v="0"/>
    <x v="3"/>
    <n v="25.91"/>
    <n v="6"/>
    <n v="7.7729999999999997"/>
    <x v="327"/>
    <x v="28"/>
    <x v="258"/>
    <x v="1"/>
    <n v="155.46"/>
    <n v="4.7619047620000003"/>
    <n v="7.7729999999999997"/>
    <n v="8.6999999999999993"/>
  </r>
  <r>
    <s v="497-36-0989"/>
    <x v="1"/>
    <x v="1"/>
    <x v="1"/>
    <x v="0"/>
    <x v="1"/>
    <n v="51.94"/>
    <n v="3"/>
    <n v="7.7910000000000004"/>
    <x v="328"/>
    <x v="74"/>
    <x v="259"/>
    <x v="0"/>
    <n v="155.82"/>
    <n v="4.7619047620000003"/>
    <n v="7.7910000000000004"/>
    <n v="7.9"/>
  </r>
  <r>
    <s v="152-68-2907"/>
    <x v="0"/>
    <x v="2"/>
    <x v="1"/>
    <x v="0"/>
    <x v="2"/>
    <n v="52.2"/>
    <n v="3"/>
    <n v="7.83"/>
    <x v="329"/>
    <x v="74"/>
    <x v="260"/>
    <x v="0"/>
    <n v="156.6"/>
    <n v="4.7619047620000003"/>
    <n v="7.83"/>
    <n v="9.5"/>
  </r>
  <r>
    <s v="319-71-1429"/>
    <x v="1"/>
    <x v="2"/>
    <x v="1"/>
    <x v="0"/>
    <x v="2"/>
    <n v="52.2"/>
    <n v="3"/>
    <n v="7.83"/>
    <x v="329"/>
    <x v="74"/>
    <x v="260"/>
    <x v="0"/>
    <n v="156.6"/>
    <n v="4.7619047620000003"/>
    <n v="7.83"/>
    <n v="9.5"/>
  </r>
  <r>
    <s v="986-23-2668"/>
    <x v="1"/>
    <x v="2"/>
    <x v="1"/>
    <x v="0"/>
    <x v="2"/>
    <n v="52.2"/>
    <n v="3"/>
    <n v="7.83"/>
    <x v="329"/>
    <x v="74"/>
    <x v="260"/>
    <x v="0"/>
    <n v="156.6"/>
    <n v="4.7619047620000003"/>
    <n v="7.83"/>
    <n v="9.5"/>
  </r>
  <r>
    <s v="286-62-6248"/>
    <x v="0"/>
    <x v="1"/>
    <x v="1"/>
    <x v="0"/>
    <x v="1"/>
    <n v="39.21"/>
    <n v="4"/>
    <n v="7.8419999999999996"/>
    <x v="330"/>
    <x v="30"/>
    <x v="76"/>
    <x v="0"/>
    <n v="156.84"/>
    <n v="4.7619047620000003"/>
    <n v="7.8419999999999996"/>
    <n v="9"/>
  </r>
  <r>
    <s v="369-67-6901"/>
    <x v="2"/>
    <x v="1"/>
    <x v="1"/>
    <x v="0"/>
    <x v="1"/>
    <n v="39.21"/>
    <n v="4"/>
    <n v="7.8419999999999996"/>
    <x v="330"/>
    <x v="30"/>
    <x v="76"/>
    <x v="0"/>
    <n v="156.84"/>
    <n v="4.7619047620000003"/>
    <n v="7.8419999999999996"/>
    <n v="9"/>
  </r>
  <r>
    <s v="902-30-7682"/>
    <x v="1"/>
    <x v="1"/>
    <x v="1"/>
    <x v="0"/>
    <x v="2"/>
    <n v="39.21"/>
    <n v="4"/>
    <n v="7.8419999999999996"/>
    <x v="330"/>
    <x v="30"/>
    <x v="76"/>
    <x v="1"/>
    <n v="156.84"/>
    <n v="4.7619047620000003"/>
    <n v="7.8419999999999996"/>
    <n v="9"/>
  </r>
  <r>
    <s v="284-16-7974"/>
    <x v="0"/>
    <x v="1"/>
    <x v="1"/>
    <x v="0"/>
    <x v="2"/>
    <n v="39.21"/>
    <n v="4"/>
    <n v="7.8419999999999996"/>
    <x v="330"/>
    <x v="30"/>
    <x v="76"/>
    <x v="0"/>
    <n v="156.84"/>
    <n v="4.7619047620000003"/>
    <n v="7.8419999999999996"/>
    <n v="9"/>
  </r>
  <r>
    <s v="278-86-2735"/>
    <x v="0"/>
    <x v="2"/>
    <x v="1"/>
    <x v="1"/>
    <x v="2"/>
    <n v="52.34"/>
    <n v="3"/>
    <n v="7.851"/>
    <x v="331"/>
    <x v="82"/>
    <x v="261"/>
    <x v="0"/>
    <n v="157.02000000000001"/>
    <n v="4.7619047620000003"/>
    <n v="7.851"/>
    <n v="9.1999999999999993"/>
  </r>
  <r>
    <s v="827-39-2001"/>
    <x v="1"/>
    <x v="2"/>
    <x v="1"/>
    <x v="1"/>
    <x v="2"/>
    <n v="52.34"/>
    <n v="3"/>
    <n v="7.851"/>
    <x v="331"/>
    <x v="82"/>
    <x v="261"/>
    <x v="0"/>
    <n v="157.02000000000001"/>
    <n v="4.7619047620000003"/>
    <n v="7.851"/>
    <n v="9.1999999999999993"/>
  </r>
  <r>
    <s v="676-61-4491"/>
    <x v="1"/>
    <x v="2"/>
    <x v="1"/>
    <x v="1"/>
    <x v="2"/>
    <n v="52.34"/>
    <n v="3"/>
    <n v="7.851"/>
    <x v="331"/>
    <x v="82"/>
    <x v="261"/>
    <x v="1"/>
    <n v="157.02000000000001"/>
    <n v="4.7619047620000003"/>
    <n v="7.851"/>
    <n v="9.1999999999999993"/>
  </r>
  <r>
    <s v="665-63-9737"/>
    <x v="0"/>
    <x v="1"/>
    <x v="1"/>
    <x v="0"/>
    <x v="1"/>
    <n v="52.42"/>
    <n v="3"/>
    <n v="7.8630000000000004"/>
    <x v="332"/>
    <x v="46"/>
    <x v="186"/>
    <x v="0"/>
    <n v="157.26"/>
    <n v="4.7619047620000003"/>
    <n v="7.8630000000000004"/>
    <n v="7.5"/>
  </r>
  <r>
    <s v="924-22-9876"/>
    <x v="2"/>
    <x v="1"/>
    <x v="1"/>
    <x v="0"/>
    <x v="2"/>
    <n v="52.42"/>
    <n v="3"/>
    <n v="7.8630000000000004"/>
    <x v="332"/>
    <x v="46"/>
    <x v="186"/>
    <x v="1"/>
    <n v="157.26"/>
    <n v="4.7619047620000003"/>
    <n v="7.8630000000000004"/>
    <n v="7.5"/>
  </r>
  <r>
    <s v="464-18-8322"/>
    <x v="0"/>
    <x v="0"/>
    <x v="1"/>
    <x v="0"/>
    <x v="1"/>
    <n v="52.42"/>
    <n v="3"/>
    <n v="7.8630000000000004"/>
    <x v="332"/>
    <x v="46"/>
    <x v="186"/>
    <x v="0"/>
    <n v="157.26"/>
    <n v="4.7619047620000003"/>
    <n v="7.8630000000000004"/>
    <n v="6.4"/>
  </r>
  <r>
    <s v="139-52-2867"/>
    <x v="0"/>
    <x v="0"/>
    <x v="1"/>
    <x v="0"/>
    <x v="1"/>
    <n v="22.51"/>
    <n v="7"/>
    <n v="7.8784999999999998"/>
    <x v="333"/>
    <x v="25"/>
    <x v="172"/>
    <x v="2"/>
    <n v="157.57"/>
    <n v="4.7619047620000003"/>
    <n v="7.8784999999999998"/>
    <n v="4.8"/>
  </r>
  <r>
    <s v="135-13-8269"/>
    <x v="0"/>
    <x v="1"/>
    <x v="0"/>
    <x v="1"/>
    <x v="2"/>
    <n v="78.88"/>
    <n v="2"/>
    <n v="7.8879999999999999"/>
    <x v="334"/>
    <x v="1"/>
    <x v="262"/>
    <x v="0"/>
    <n v="157.76"/>
    <n v="4.7619047620000003"/>
    <n v="7.8879999999999999"/>
    <n v="9.1"/>
  </r>
  <r>
    <s v="345-92-3004"/>
    <x v="2"/>
    <x v="1"/>
    <x v="0"/>
    <x v="1"/>
    <x v="2"/>
    <n v="78.88"/>
    <n v="2"/>
    <n v="7.8879999999999999"/>
    <x v="334"/>
    <x v="1"/>
    <x v="262"/>
    <x v="0"/>
    <n v="157.76"/>
    <n v="4.7619047620000003"/>
    <n v="7.8879999999999999"/>
    <n v="9.1"/>
  </r>
  <r>
    <s v="850-56-2725"/>
    <x v="2"/>
    <x v="1"/>
    <x v="0"/>
    <x v="1"/>
    <x v="2"/>
    <n v="78.88"/>
    <n v="2"/>
    <n v="7.8879999999999999"/>
    <x v="334"/>
    <x v="1"/>
    <x v="262"/>
    <x v="0"/>
    <n v="157.76"/>
    <n v="4.7619047620000003"/>
    <n v="7.8879999999999999"/>
    <n v="9.1"/>
  </r>
  <r>
    <s v="867-47-1948"/>
    <x v="0"/>
    <x v="1"/>
    <x v="1"/>
    <x v="1"/>
    <x v="2"/>
    <n v="15.8"/>
    <n v="10"/>
    <n v="7.9"/>
    <x v="335"/>
    <x v="62"/>
    <x v="215"/>
    <x v="0"/>
    <n v="158"/>
    <n v="4.7619047620000003"/>
    <n v="7.9"/>
    <n v="7.8"/>
  </r>
  <r>
    <s v="199-75-8169"/>
    <x v="1"/>
    <x v="2"/>
    <x v="0"/>
    <x v="0"/>
    <x v="0"/>
    <n v="15.81"/>
    <n v="10"/>
    <n v="7.9050000000000002"/>
    <x v="336"/>
    <x v="37"/>
    <x v="263"/>
    <x v="2"/>
    <n v="158.1"/>
    <n v="4.7619047620000003"/>
    <n v="7.9050000000000002"/>
    <n v="8.6"/>
  </r>
  <r>
    <s v="773-96-8871"/>
    <x v="1"/>
    <x v="2"/>
    <x v="1"/>
    <x v="0"/>
    <x v="2"/>
    <n v="52.75"/>
    <n v="3"/>
    <n v="7.9124999999999996"/>
    <x v="337"/>
    <x v="19"/>
    <x v="258"/>
    <x v="1"/>
    <n v="158.25"/>
    <n v="4.7619047620000003"/>
    <n v="7.9124999999999996"/>
    <n v="9.3000000000000007"/>
  </r>
  <r>
    <s v="865-92-6136"/>
    <x v="1"/>
    <x v="1"/>
    <x v="1"/>
    <x v="0"/>
    <x v="2"/>
    <n v="52.75"/>
    <n v="3"/>
    <n v="7.9124999999999996"/>
    <x v="337"/>
    <x v="19"/>
    <x v="258"/>
    <x v="1"/>
    <n v="158.25"/>
    <n v="4.7619047620000003"/>
    <n v="7.9124999999999996"/>
    <n v="9.3000000000000007"/>
  </r>
  <r>
    <s v="414-12-7047"/>
    <x v="2"/>
    <x v="1"/>
    <x v="1"/>
    <x v="0"/>
    <x v="2"/>
    <n v="19.79"/>
    <n v="8"/>
    <n v="7.9160000000000004"/>
    <x v="338"/>
    <x v="40"/>
    <x v="264"/>
    <x v="0"/>
    <n v="158.32"/>
    <n v="4.7619047620000003"/>
    <n v="7.9160000000000004"/>
    <n v="8.6999999999999993"/>
  </r>
  <r>
    <s v="982-24-8731"/>
    <x v="1"/>
    <x v="1"/>
    <x v="1"/>
    <x v="0"/>
    <x v="2"/>
    <n v="19.79"/>
    <n v="8"/>
    <n v="7.9160000000000004"/>
    <x v="338"/>
    <x v="40"/>
    <x v="264"/>
    <x v="1"/>
    <n v="158.32"/>
    <n v="4.7619047620000003"/>
    <n v="7.9160000000000004"/>
    <n v="8.6999999999999993"/>
  </r>
  <r>
    <s v="919-35-6098"/>
    <x v="0"/>
    <x v="1"/>
    <x v="1"/>
    <x v="0"/>
    <x v="2"/>
    <n v="19.79"/>
    <n v="8"/>
    <n v="7.9160000000000004"/>
    <x v="338"/>
    <x v="40"/>
    <x v="264"/>
    <x v="0"/>
    <n v="158.32"/>
    <n v="4.7619047620000003"/>
    <n v="7.9160000000000004"/>
    <n v="8.6999999999999993"/>
  </r>
  <r>
    <s v="877-22-3308"/>
    <x v="1"/>
    <x v="1"/>
    <x v="0"/>
    <x v="0"/>
    <x v="2"/>
    <n v="15.87"/>
    <n v="10"/>
    <n v="7.9349999999999996"/>
    <x v="339"/>
    <x v="57"/>
    <x v="265"/>
    <x v="0"/>
    <n v="158.69999999999999"/>
    <n v="4.7619047620000003"/>
    <n v="7.9349999999999996"/>
    <n v="5.8"/>
  </r>
  <r>
    <s v="186-71-5196"/>
    <x v="1"/>
    <x v="1"/>
    <x v="0"/>
    <x v="1"/>
    <x v="2"/>
    <n v="79.540000000000006"/>
    <n v="2"/>
    <n v="7.9539999999999997"/>
    <x v="340"/>
    <x v="82"/>
    <x v="266"/>
    <x v="0"/>
    <n v="159.08000000000001"/>
    <n v="4.7619047620000003"/>
    <n v="7.9539999999999997"/>
    <n v="6.2"/>
  </r>
  <r>
    <s v="621-46-8241"/>
    <x v="1"/>
    <x v="2"/>
    <x v="0"/>
    <x v="0"/>
    <x v="2"/>
    <n v="79.540000000000006"/>
    <n v="2"/>
    <n v="7.9539999999999997"/>
    <x v="340"/>
    <x v="82"/>
    <x v="266"/>
    <x v="1"/>
    <n v="159.08000000000001"/>
    <n v="4.7619047620000003"/>
    <n v="7.9539999999999997"/>
    <n v="6.2"/>
  </r>
  <r>
    <s v="690-94-7178"/>
    <x v="1"/>
    <x v="0"/>
    <x v="0"/>
    <x v="0"/>
    <x v="2"/>
    <n v="79.540000000000006"/>
    <n v="2"/>
    <n v="7.9539999999999997"/>
    <x v="340"/>
    <x v="82"/>
    <x v="266"/>
    <x v="1"/>
    <n v="159.08000000000001"/>
    <n v="4.7619047620000003"/>
    <n v="7.9539999999999997"/>
    <n v="6.5"/>
  </r>
  <r>
    <s v="518-71-6847"/>
    <x v="2"/>
    <x v="1"/>
    <x v="0"/>
    <x v="0"/>
    <x v="2"/>
    <n v="26.6"/>
    <n v="6"/>
    <n v="7.98"/>
    <x v="341"/>
    <x v="55"/>
    <x v="35"/>
    <x v="0"/>
    <n v="159.6"/>
    <n v="4.7619047620000003"/>
    <n v="7.98"/>
    <n v="4.9000000000000004"/>
  </r>
  <r>
    <s v="680-37-1324"/>
    <x v="2"/>
    <x v="1"/>
    <x v="0"/>
    <x v="0"/>
    <x v="2"/>
    <n v="26.6"/>
    <n v="6"/>
    <n v="7.98"/>
    <x v="341"/>
    <x v="55"/>
    <x v="35"/>
    <x v="1"/>
    <n v="159.6"/>
    <n v="4.7619047620000003"/>
    <n v="7.98"/>
    <n v="4.9000000000000004"/>
  </r>
  <r>
    <s v="535-87-2043"/>
    <x v="2"/>
    <x v="1"/>
    <x v="0"/>
    <x v="0"/>
    <x v="2"/>
    <n v="26.6"/>
    <n v="6"/>
    <n v="7.98"/>
    <x v="341"/>
    <x v="55"/>
    <x v="35"/>
    <x v="1"/>
    <n v="159.6"/>
    <n v="4.7619047620000003"/>
    <n v="7.98"/>
    <n v="6.6"/>
  </r>
  <r>
    <s v="856-66-2701"/>
    <x v="0"/>
    <x v="2"/>
    <x v="0"/>
    <x v="0"/>
    <x v="2"/>
    <n v="53.3"/>
    <n v="3"/>
    <n v="7.9950000000000001"/>
    <x v="342"/>
    <x v="6"/>
    <x v="267"/>
    <x v="0"/>
    <n v="159.9"/>
    <n v="4.7619047620000003"/>
    <n v="7.9950000000000001"/>
    <n v="7.5"/>
  </r>
  <r>
    <s v="340-21-9136"/>
    <x v="0"/>
    <x v="2"/>
    <x v="0"/>
    <x v="1"/>
    <x v="0"/>
    <n v="40.049999999999997"/>
    <n v="4"/>
    <n v="8.01"/>
    <x v="343"/>
    <x v="6"/>
    <x v="88"/>
    <x v="0"/>
    <n v="160.19999999999999"/>
    <n v="4.7619047620000003"/>
    <n v="8.01"/>
    <n v="9.6999999999999993"/>
  </r>
  <r>
    <s v="975-36-8245"/>
    <x v="1"/>
    <x v="1"/>
    <x v="0"/>
    <x v="0"/>
    <x v="2"/>
    <n v="40.049999999999997"/>
    <n v="4"/>
    <n v="8.01"/>
    <x v="343"/>
    <x v="6"/>
    <x v="88"/>
    <x v="0"/>
    <n v="160.19999999999999"/>
    <n v="4.7619047620000003"/>
    <n v="8.01"/>
    <n v="9.6999999999999993"/>
  </r>
  <r>
    <s v="247-84-2742"/>
    <x v="0"/>
    <x v="2"/>
    <x v="0"/>
    <x v="1"/>
    <x v="2"/>
    <n v="40.049999999999997"/>
    <n v="4"/>
    <n v="8.01"/>
    <x v="343"/>
    <x v="6"/>
    <x v="88"/>
    <x v="0"/>
    <n v="160.19999999999999"/>
    <n v="4.7619047620000003"/>
    <n v="8.01"/>
    <n v="9.6999999999999993"/>
  </r>
  <r>
    <s v="870-54-3162"/>
    <x v="1"/>
    <x v="1"/>
    <x v="1"/>
    <x v="0"/>
    <x v="2"/>
    <n v="32.25"/>
    <n v="5"/>
    <n v="8.0625"/>
    <x v="344"/>
    <x v="17"/>
    <x v="268"/>
    <x v="0"/>
    <n v="161.25"/>
    <n v="4.7619047620000003"/>
    <n v="8.0625"/>
    <n v="9"/>
  </r>
  <r>
    <s v="289-65-5721"/>
    <x v="2"/>
    <x v="1"/>
    <x v="1"/>
    <x v="0"/>
    <x v="1"/>
    <n v="81.37"/>
    <n v="2"/>
    <n v="8.1370000000000005"/>
    <x v="345"/>
    <x v="1"/>
    <x v="202"/>
    <x v="0"/>
    <n v="162.74"/>
    <n v="4.7619047620000003"/>
    <n v="8.1370000000000005"/>
    <n v="6.5"/>
  </r>
  <r>
    <s v="641-50-7456"/>
    <x v="1"/>
    <x v="1"/>
    <x v="1"/>
    <x v="0"/>
    <x v="2"/>
    <n v="81.37"/>
    <n v="2"/>
    <n v="8.1370000000000005"/>
    <x v="345"/>
    <x v="1"/>
    <x v="202"/>
    <x v="1"/>
    <n v="162.74"/>
    <n v="4.7619047620000003"/>
    <n v="8.1370000000000005"/>
    <n v="6.5"/>
  </r>
  <r>
    <s v="548-56-3341"/>
    <x v="1"/>
    <x v="2"/>
    <x v="1"/>
    <x v="0"/>
    <x v="5"/>
    <n v="32.71"/>
    <n v="5"/>
    <n v="8.1775000000000002"/>
    <x v="346"/>
    <x v="7"/>
    <x v="60"/>
    <x v="2"/>
    <n v="163.55000000000001"/>
    <n v="4.7619047620000003"/>
    <n v="8.1775000000000002"/>
    <n v="9.9"/>
  </r>
  <r>
    <s v="831-07-6050"/>
    <x v="1"/>
    <x v="2"/>
    <x v="1"/>
    <x v="0"/>
    <x v="5"/>
    <n v="32.71"/>
    <n v="5"/>
    <n v="8.1775000000000002"/>
    <x v="346"/>
    <x v="7"/>
    <x v="60"/>
    <x v="2"/>
    <n v="163.55000000000001"/>
    <n v="4.7619047620000003"/>
    <n v="8.1775000000000002"/>
    <n v="9.9"/>
  </r>
  <r>
    <s v="848-42-2560"/>
    <x v="1"/>
    <x v="1"/>
    <x v="1"/>
    <x v="1"/>
    <x v="2"/>
    <n v="81.91"/>
    <n v="2"/>
    <n v="8.1910000000000007"/>
    <x v="347"/>
    <x v="53"/>
    <x v="151"/>
    <x v="0"/>
    <n v="163.82"/>
    <n v="4.7619047620000003"/>
    <n v="8.1910000000000007"/>
    <n v="7.8"/>
  </r>
  <r>
    <s v="329-62-1586"/>
    <x v="1"/>
    <x v="2"/>
    <x v="1"/>
    <x v="0"/>
    <x v="2"/>
    <n v="54.67"/>
    <n v="3"/>
    <n v="8.2004999999999999"/>
    <x v="348"/>
    <x v="69"/>
    <x v="269"/>
    <x v="0"/>
    <n v="164.01"/>
    <n v="4.7619047620000003"/>
    <n v="8.2004999999999999"/>
    <n v="8.6"/>
  </r>
  <r>
    <s v="777-11-4609"/>
    <x v="1"/>
    <x v="2"/>
    <x v="1"/>
    <x v="0"/>
    <x v="2"/>
    <n v="54.67"/>
    <n v="3"/>
    <n v="8.2004999999999999"/>
    <x v="348"/>
    <x v="69"/>
    <x v="269"/>
    <x v="2"/>
    <n v="164.01"/>
    <n v="4.7619047620000003"/>
    <n v="8.2004999999999999"/>
    <n v="8.6"/>
  </r>
  <r>
    <s v="349-69-2778"/>
    <x v="1"/>
    <x v="2"/>
    <x v="1"/>
    <x v="0"/>
    <x v="2"/>
    <n v="54.67"/>
    <n v="3"/>
    <n v="8.2004999999999999"/>
    <x v="348"/>
    <x v="69"/>
    <x v="269"/>
    <x v="0"/>
    <n v="164.01"/>
    <n v="4.7619047620000003"/>
    <n v="8.2004999999999999"/>
    <n v="8.6"/>
  </r>
  <r>
    <s v="628-34-3388"/>
    <x v="0"/>
    <x v="0"/>
    <x v="1"/>
    <x v="0"/>
    <x v="1"/>
    <n v="27.38"/>
    <n v="6"/>
    <n v="8.2140000000000004"/>
    <x v="349"/>
    <x v="32"/>
    <x v="270"/>
    <x v="2"/>
    <n v="164.28"/>
    <n v="4.7619047620000003"/>
    <n v="8.2140000000000004"/>
    <n v="7.9"/>
  </r>
  <r>
    <s v="900-76-8911"/>
    <x v="0"/>
    <x v="0"/>
    <x v="1"/>
    <x v="0"/>
    <x v="1"/>
    <n v="27.38"/>
    <n v="6"/>
    <n v="8.2140000000000004"/>
    <x v="349"/>
    <x v="32"/>
    <x v="270"/>
    <x v="2"/>
    <n v="164.28"/>
    <n v="4.7619047620000003"/>
    <n v="8.2140000000000004"/>
    <n v="6.7"/>
  </r>
  <r>
    <s v="444-88-6781"/>
    <x v="2"/>
    <x v="1"/>
    <x v="0"/>
    <x v="1"/>
    <x v="2"/>
    <n v="54.84"/>
    <n v="3"/>
    <n v="8.2260000000000009"/>
    <x v="350"/>
    <x v="76"/>
    <x v="271"/>
    <x v="0"/>
    <n v="164.52"/>
    <n v="4.7619047620000003"/>
    <n v="8.2260000000000009"/>
    <n v="5.9"/>
  </r>
  <r>
    <s v="692-92-5582"/>
    <x v="2"/>
    <x v="1"/>
    <x v="1"/>
    <x v="0"/>
    <x v="2"/>
    <n v="54.84"/>
    <n v="3"/>
    <n v="8.2260000000000009"/>
    <x v="350"/>
    <x v="76"/>
    <x v="271"/>
    <x v="2"/>
    <n v="164.52"/>
    <n v="4.7619047620000003"/>
    <n v="8.2260000000000009"/>
    <n v="5.9"/>
  </r>
  <r>
    <s v="238-60-7047"/>
    <x v="0"/>
    <x v="1"/>
    <x v="1"/>
    <x v="1"/>
    <x v="2"/>
    <n v="54.84"/>
    <n v="3"/>
    <n v="8.2260000000000009"/>
    <x v="350"/>
    <x v="76"/>
    <x v="271"/>
    <x v="0"/>
    <n v="164.52"/>
    <n v="4.7619047620000003"/>
    <n v="8.2260000000000009"/>
    <n v="5.9"/>
  </r>
  <r>
    <s v="272-27-9238"/>
    <x v="0"/>
    <x v="1"/>
    <x v="1"/>
    <x v="1"/>
    <x v="2"/>
    <n v="41.24"/>
    <n v="4"/>
    <n v="8.2479999999999993"/>
    <x v="351"/>
    <x v="87"/>
    <x v="165"/>
    <x v="0"/>
    <n v="164.96"/>
    <n v="4.7619047620000003"/>
    <n v="8.2479999999999993"/>
    <n v="7.1"/>
  </r>
  <r>
    <s v="480-20-1966"/>
    <x v="0"/>
    <x v="0"/>
    <x v="1"/>
    <x v="1"/>
    <x v="2"/>
    <n v="41.24"/>
    <n v="4"/>
    <n v="8.2479999999999993"/>
    <x v="351"/>
    <x v="87"/>
    <x v="165"/>
    <x v="0"/>
    <n v="164.96"/>
    <n v="4.7619047620000003"/>
    <n v="8.2479999999999993"/>
    <n v="7.1"/>
  </r>
  <r>
    <s v="699-01-4164"/>
    <x v="0"/>
    <x v="0"/>
    <x v="1"/>
    <x v="0"/>
    <x v="4"/>
    <n v="41.5"/>
    <n v="4"/>
    <n v="8.3000000000000007"/>
    <x v="352"/>
    <x v="31"/>
    <x v="272"/>
    <x v="2"/>
    <n v="166"/>
    <n v="4.7619047620000003"/>
    <n v="8.3000000000000007"/>
    <n v="8.1999999999999993"/>
  </r>
  <r>
    <s v="330-62-9257"/>
    <x v="1"/>
    <x v="2"/>
    <x v="1"/>
    <x v="0"/>
    <x v="0"/>
    <n v="33.26"/>
    <n v="5"/>
    <n v="8.3149999999999995"/>
    <x v="353"/>
    <x v="50"/>
    <x v="273"/>
    <x v="0"/>
    <n v="166.3"/>
    <n v="4.7619047620000003"/>
    <n v="8.3149999999999995"/>
    <n v="4.2"/>
  </r>
  <r>
    <s v="485-30-8700"/>
    <x v="0"/>
    <x v="2"/>
    <x v="1"/>
    <x v="1"/>
    <x v="0"/>
    <n v="33.26"/>
    <n v="5"/>
    <n v="8.3149999999999995"/>
    <x v="353"/>
    <x v="50"/>
    <x v="273"/>
    <x v="2"/>
    <n v="166.3"/>
    <n v="4.7619047620000003"/>
    <n v="8.3149999999999995"/>
    <n v="4.2"/>
  </r>
  <r>
    <s v="925-46-3325"/>
    <x v="1"/>
    <x v="2"/>
    <x v="1"/>
    <x v="0"/>
    <x v="0"/>
    <n v="33.26"/>
    <n v="5"/>
    <n v="8.3149999999999995"/>
    <x v="353"/>
    <x v="50"/>
    <x v="273"/>
    <x v="0"/>
    <n v="166.3"/>
    <n v="4.7619047620000003"/>
    <n v="8.3149999999999995"/>
    <n v="4.2"/>
  </r>
  <r>
    <s v="548-48-3156"/>
    <x v="1"/>
    <x v="1"/>
    <x v="0"/>
    <x v="1"/>
    <x v="2"/>
    <n v="83.34"/>
    <n v="2"/>
    <n v="8.3339999999999996"/>
    <x v="354"/>
    <x v="7"/>
    <x v="274"/>
    <x v="0"/>
    <n v="166.68"/>
    <n v="4.7619047620000003"/>
    <n v="8.3339999999999996"/>
    <n v="7.6"/>
  </r>
  <r>
    <s v="782-18-3527"/>
    <x v="1"/>
    <x v="2"/>
    <x v="0"/>
    <x v="0"/>
    <x v="2"/>
    <n v="83.34"/>
    <n v="2"/>
    <n v="8.3339999999999996"/>
    <x v="354"/>
    <x v="7"/>
    <x v="274"/>
    <x v="0"/>
    <n v="166.68"/>
    <n v="4.7619047620000003"/>
    <n v="8.3339999999999996"/>
    <n v="7.6"/>
  </r>
  <r>
    <s v="756-93-1854"/>
    <x v="0"/>
    <x v="0"/>
    <x v="0"/>
    <x v="1"/>
    <x v="1"/>
    <n v="83.35"/>
    <n v="2"/>
    <n v="8.3350000000000009"/>
    <x v="355"/>
    <x v="11"/>
    <x v="275"/>
    <x v="0"/>
    <n v="166.7"/>
    <n v="4.7619047620000003"/>
    <n v="8.3350000000000009"/>
    <n v="9.5"/>
  </r>
  <r>
    <s v="442-44-6497"/>
    <x v="0"/>
    <x v="1"/>
    <x v="0"/>
    <x v="0"/>
    <x v="3"/>
    <n v="55.57"/>
    <n v="3"/>
    <n v="8.3354999999999997"/>
    <x v="356"/>
    <x v="3"/>
    <x v="276"/>
    <x v="0"/>
    <n v="166.71"/>
    <n v="4.7619047620000003"/>
    <n v="8.3354999999999997"/>
    <n v="5.9"/>
  </r>
  <r>
    <s v="873-13-8404"/>
    <x v="0"/>
    <x v="1"/>
    <x v="1"/>
    <x v="0"/>
    <x v="3"/>
    <n v="55.57"/>
    <n v="3"/>
    <n v="8.3354999999999997"/>
    <x v="356"/>
    <x v="3"/>
    <x v="276"/>
    <x v="0"/>
    <n v="166.71"/>
    <n v="4.7619047620000003"/>
    <n v="8.3354999999999997"/>
    <n v="5.9"/>
  </r>
  <r>
    <s v="733-33-4967"/>
    <x v="0"/>
    <x v="0"/>
    <x v="1"/>
    <x v="0"/>
    <x v="5"/>
    <n v="20.85"/>
    <n v="8"/>
    <n v="8.34"/>
    <x v="357"/>
    <x v="18"/>
    <x v="56"/>
    <x v="0"/>
    <n v="166.8"/>
    <n v="4.7619047620000003"/>
    <n v="8.34"/>
    <n v="6.3"/>
  </r>
  <r>
    <s v="751-33-7692"/>
    <x v="0"/>
    <x v="0"/>
    <x v="1"/>
    <x v="0"/>
    <x v="5"/>
    <n v="20.85"/>
    <n v="8"/>
    <n v="8.34"/>
    <x v="357"/>
    <x v="18"/>
    <x v="56"/>
    <x v="0"/>
    <n v="166.8"/>
    <n v="4.7619047620000003"/>
    <n v="8.34"/>
    <n v="6.3"/>
  </r>
  <r>
    <s v="181-44-3790"/>
    <x v="2"/>
    <x v="1"/>
    <x v="0"/>
    <x v="0"/>
    <x v="1"/>
    <n v="83.77"/>
    <n v="2"/>
    <n v="8.3770000000000007"/>
    <x v="358"/>
    <x v="49"/>
    <x v="277"/>
    <x v="0"/>
    <n v="167.54"/>
    <n v="4.7619047620000003"/>
    <n v="8.3770000000000007"/>
    <n v="4.5999999999999996"/>
  </r>
  <r>
    <s v="242-11-3142"/>
    <x v="0"/>
    <x v="1"/>
    <x v="0"/>
    <x v="0"/>
    <x v="1"/>
    <n v="83.77"/>
    <n v="2"/>
    <n v="8.3770000000000007"/>
    <x v="358"/>
    <x v="49"/>
    <x v="277"/>
    <x v="0"/>
    <n v="167.54"/>
    <n v="4.7619047620000003"/>
    <n v="8.3770000000000007"/>
    <n v="4.5999999999999996"/>
  </r>
  <r>
    <s v="537-59-1321"/>
    <x v="1"/>
    <x v="2"/>
    <x v="0"/>
    <x v="0"/>
    <x v="2"/>
    <n v="83.77"/>
    <n v="2"/>
    <n v="8.3770000000000007"/>
    <x v="358"/>
    <x v="67"/>
    <x v="278"/>
    <x v="2"/>
    <n v="167.54"/>
    <n v="4.7619047620000003"/>
    <n v="8.3770000000000007"/>
    <n v="7"/>
  </r>
  <r>
    <s v="589-02-8023"/>
    <x v="0"/>
    <x v="2"/>
    <x v="0"/>
    <x v="0"/>
    <x v="2"/>
    <n v="83.77"/>
    <n v="2"/>
    <n v="8.3770000000000007"/>
    <x v="358"/>
    <x v="67"/>
    <x v="278"/>
    <x v="0"/>
    <n v="167.54"/>
    <n v="4.7619047620000003"/>
    <n v="8.3770000000000007"/>
    <n v="7"/>
  </r>
  <r>
    <s v="635-28-5728"/>
    <x v="1"/>
    <x v="1"/>
    <x v="1"/>
    <x v="0"/>
    <x v="4"/>
    <n v="56"/>
    <n v="3"/>
    <n v="8.4"/>
    <x v="359"/>
    <x v="60"/>
    <x v="279"/>
    <x v="1"/>
    <n v="168"/>
    <n v="4.7619047620000003"/>
    <n v="8.4"/>
    <n v="4.8"/>
  </r>
  <r>
    <s v="395-57-4707"/>
    <x v="1"/>
    <x v="0"/>
    <x v="1"/>
    <x v="0"/>
    <x v="4"/>
    <n v="56"/>
    <n v="3"/>
    <n v="8.4"/>
    <x v="359"/>
    <x v="60"/>
    <x v="279"/>
    <x v="1"/>
    <n v="168"/>
    <n v="4.7619047620000003"/>
    <n v="8.4"/>
    <n v="6.8"/>
  </r>
  <r>
    <s v="639-45-1126"/>
    <x v="0"/>
    <x v="0"/>
    <x v="0"/>
    <x v="0"/>
    <x v="5"/>
    <n v="84.25"/>
    <n v="2"/>
    <n v="8.4250000000000007"/>
    <x v="360"/>
    <x v="39"/>
    <x v="61"/>
    <x v="2"/>
    <n v="168.5"/>
    <n v="4.7619047620000003"/>
    <n v="8.4250000000000007"/>
    <n v="5.3"/>
  </r>
  <r>
    <s v="859-97-6048"/>
    <x v="0"/>
    <x v="1"/>
    <x v="0"/>
    <x v="0"/>
    <x v="2"/>
    <n v="84.25"/>
    <n v="2"/>
    <n v="8.4250000000000007"/>
    <x v="360"/>
    <x v="39"/>
    <x v="61"/>
    <x v="0"/>
    <n v="168.5"/>
    <n v="4.7619047620000003"/>
    <n v="8.4250000000000007"/>
    <n v="5.3"/>
  </r>
  <r>
    <s v="830-17-8013"/>
    <x v="0"/>
    <x v="0"/>
    <x v="0"/>
    <x v="0"/>
    <x v="5"/>
    <n v="84.25"/>
    <n v="2"/>
    <n v="8.4250000000000007"/>
    <x v="360"/>
    <x v="39"/>
    <x v="61"/>
    <x v="2"/>
    <n v="168.5"/>
    <n v="4.7619047620000003"/>
    <n v="8.4250000000000007"/>
    <n v="6.9"/>
  </r>
  <r>
    <s v="389-51-3301"/>
    <x v="2"/>
    <x v="1"/>
    <x v="1"/>
    <x v="0"/>
    <x v="2"/>
    <n v="21.12"/>
    <n v="8"/>
    <n v="8.4480000000000004"/>
    <x v="361"/>
    <x v="85"/>
    <x v="280"/>
    <x v="0"/>
    <n v="168.96"/>
    <n v="4.7619047620000003"/>
    <n v="8.4480000000000004"/>
    <n v="6.3"/>
  </r>
  <r>
    <s v="770-42-8960"/>
    <x v="2"/>
    <x v="1"/>
    <x v="1"/>
    <x v="0"/>
    <x v="2"/>
    <n v="21.12"/>
    <n v="8"/>
    <n v="8.4480000000000004"/>
    <x v="361"/>
    <x v="85"/>
    <x v="280"/>
    <x v="0"/>
    <n v="168.96"/>
    <n v="4.7619047620000003"/>
    <n v="8.4480000000000004"/>
    <n v="6.3"/>
  </r>
  <r>
    <s v="471-38-6979"/>
    <x v="0"/>
    <x v="1"/>
    <x v="1"/>
    <x v="0"/>
    <x v="2"/>
    <n v="21.12"/>
    <n v="8"/>
    <n v="8.4480000000000004"/>
    <x v="361"/>
    <x v="85"/>
    <x v="280"/>
    <x v="0"/>
    <n v="168.96"/>
    <n v="4.7619047620000003"/>
    <n v="8.4480000000000004"/>
    <n v="6.3"/>
  </r>
  <r>
    <s v="788-07-8452"/>
    <x v="0"/>
    <x v="0"/>
    <x v="0"/>
    <x v="1"/>
    <x v="3"/>
    <n v="24.24"/>
    <n v="7"/>
    <n v="8.484"/>
    <x v="362"/>
    <x v="17"/>
    <x v="86"/>
    <x v="0"/>
    <n v="169.68"/>
    <n v="4.7619047620000003"/>
    <n v="8.484"/>
    <n v="9.4"/>
  </r>
  <r>
    <s v="508-42-9004"/>
    <x v="2"/>
    <x v="1"/>
    <x v="1"/>
    <x v="0"/>
    <x v="1"/>
    <n v="57.27"/>
    <n v="3"/>
    <n v="8.5905000000000005"/>
    <x v="363"/>
    <x v="14"/>
    <x v="281"/>
    <x v="0"/>
    <n v="171.81"/>
    <n v="4.7619047620000003"/>
    <n v="8.5905000000000005"/>
    <n v="6.5"/>
  </r>
  <r>
    <s v="747-58-7183"/>
    <x v="0"/>
    <x v="1"/>
    <x v="1"/>
    <x v="0"/>
    <x v="1"/>
    <n v="57.27"/>
    <n v="3"/>
    <n v="8.5905000000000005"/>
    <x v="363"/>
    <x v="14"/>
    <x v="281"/>
    <x v="1"/>
    <n v="171.81"/>
    <n v="4.7619047620000003"/>
    <n v="8.5905000000000005"/>
    <n v="6.5"/>
  </r>
  <r>
    <s v="205-69-9843"/>
    <x v="2"/>
    <x v="1"/>
    <x v="1"/>
    <x v="0"/>
    <x v="5"/>
    <n v="43"/>
    <n v="4"/>
    <n v="8.6"/>
    <x v="364"/>
    <x v="63"/>
    <x v="200"/>
    <x v="1"/>
    <n v="172"/>
    <n v="4.7619047620000003"/>
    <n v="8.6"/>
    <n v="7.6"/>
  </r>
  <r>
    <s v="834-45-5519"/>
    <x v="0"/>
    <x v="1"/>
    <x v="1"/>
    <x v="1"/>
    <x v="5"/>
    <n v="43"/>
    <n v="4"/>
    <n v="8.6"/>
    <x v="364"/>
    <x v="63"/>
    <x v="200"/>
    <x v="1"/>
    <n v="172"/>
    <n v="4.7619047620000003"/>
    <n v="8.6"/>
    <n v="7.6"/>
  </r>
  <r>
    <s v="790-29-1172"/>
    <x v="2"/>
    <x v="1"/>
    <x v="1"/>
    <x v="0"/>
    <x v="2"/>
    <n v="57.34"/>
    <n v="3"/>
    <n v="8.6010000000000009"/>
    <x v="365"/>
    <x v="20"/>
    <x v="252"/>
    <x v="2"/>
    <n v="172.02"/>
    <n v="4.7619047620000003"/>
    <n v="8.6010000000000009"/>
    <n v="7.9"/>
  </r>
  <r>
    <s v="865-95-6973"/>
    <x v="2"/>
    <x v="1"/>
    <x v="1"/>
    <x v="1"/>
    <x v="2"/>
    <n v="57.34"/>
    <n v="3"/>
    <n v="8.6010000000000009"/>
    <x v="365"/>
    <x v="20"/>
    <x v="252"/>
    <x v="2"/>
    <n v="172.02"/>
    <n v="4.7619047620000003"/>
    <n v="8.6010000000000009"/>
    <n v="7.9"/>
  </r>
  <r>
    <s v="744-82-9138"/>
    <x v="0"/>
    <x v="1"/>
    <x v="1"/>
    <x v="0"/>
    <x v="1"/>
    <n v="86.13"/>
    <n v="2"/>
    <n v="8.6129999999999995"/>
    <x v="366"/>
    <x v="0"/>
    <x v="133"/>
    <x v="0"/>
    <n v="172.26"/>
    <n v="4.7619047620000003"/>
    <n v="8.6129999999999995"/>
    <n v="8.1999999999999993"/>
  </r>
  <r>
    <s v="214-30-2776"/>
    <x v="2"/>
    <x v="1"/>
    <x v="0"/>
    <x v="1"/>
    <x v="5"/>
    <n v="34.49"/>
    <n v="5"/>
    <n v="8.6225000000000005"/>
    <x v="367"/>
    <x v="79"/>
    <x v="26"/>
    <x v="0"/>
    <n v="172.45"/>
    <n v="4.7619047620000003"/>
    <n v="8.6225000000000005"/>
    <n v="9"/>
  </r>
  <r>
    <s v="534-22-2876"/>
    <x v="2"/>
    <x v="1"/>
    <x v="0"/>
    <x v="0"/>
    <x v="5"/>
    <n v="34.49"/>
    <n v="5"/>
    <n v="8.6225000000000005"/>
    <x v="367"/>
    <x v="79"/>
    <x v="26"/>
    <x v="2"/>
    <n v="172.45"/>
    <n v="4.7619047620000003"/>
    <n v="8.6225000000000005"/>
    <n v="9"/>
  </r>
  <r>
    <s v="636-48-8204"/>
    <x v="1"/>
    <x v="2"/>
    <x v="1"/>
    <x v="0"/>
    <x v="5"/>
    <n v="34.56"/>
    <n v="5"/>
    <n v="8.64"/>
    <x v="368"/>
    <x v="58"/>
    <x v="282"/>
    <x v="1"/>
    <n v="172.8"/>
    <n v="4.7619047620000003"/>
    <n v="8.64"/>
    <n v="9.9"/>
  </r>
  <r>
    <s v="955-39-2246"/>
    <x v="1"/>
    <x v="1"/>
    <x v="1"/>
    <x v="0"/>
    <x v="2"/>
    <n v="34.56"/>
    <n v="5"/>
    <n v="8.64"/>
    <x v="368"/>
    <x v="58"/>
    <x v="282"/>
    <x v="1"/>
    <n v="172.8"/>
    <n v="4.7619047620000003"/>
    <n v="8.64"/>
    <n v="9.9"/>
  </r>
  <r>
    <s v="682-91-6352"/>
    <x v="1"/>
    <x v="0"/>
    <x v="1"/>
    <x v="0"/>
    <x v="5"/>
    <n v="34.56"/>
    <n v="5"/>
    <n v="8.64"/>
    <x v="368"/>
    <x v="58"/>
    <x v="282"/>
    <x v="1"/>
    <n v="172.8"/>
    <n v="4.7619047620000003"/>
    <n v="8.64"/>
    <n v="7"/>
  </r>
  <r>
    <s v="346-12-3257"/>
    <x v="0"/>
    <x v="1"/>
    <x v="0"/>
    <x v="0"/>
    <x v="5"/>
    <n v="19.239999999999998"/>
    <n v="9"/>
    <n v="8.6579999999999995"/>
    <x v="369"/>
    <x v="26"/>
    <x v="181"/>
    <x v="0"/>
    <n v="173.16"/>
    <n v="4.7619047620000003"/>
    <n v="8.6579999999999995"/>
    <n v="8"/>
  </r>
  <r>
    <s v="640-47-5141"/>
    <x v="2"/>
    <x v="1"/>
    <x v="0"/>
    <x v="0"/>
    <x v="5"/>
    <n v="19.239999999999998"/>
    <n v="9"/>
    <n v="8.6579999999999995"/>
    <x v="369"/>
    <x v="26"/>
    <x v="181"/>
    <x v="0"/>
    <n v="173.16"/>
    <n v="4.7619047620000003"/>
    <n v="8.6579999999999995"/>
    <n v="8"/>
  </r>
  <r>
    <s v="167-55-8288"/>
    <x v="0"/>
    <x v="1"/>
    <x v="0"/>
    <x v="0"/>
    <x v="2"/>
    <n v="19.239999999999998"/>
    <n v="9"/>
    <n v="8.6579999999999995"/>
    <x v="369"/>
    <x v="26"/>
    <x v="181"/>
    <x v="0"/>
    <n v="173.16"/>
    <n v="4.7619047620000003"/>
    <n v="8.6579999999999995"/>
    <n v="8"/>
  </r>
  <r>
    <s v="105-50-3843"/>
    <x v="2"/>
    <x v="0"/>
    <x v="0"/>
    <x v="0"/>
    <x v="5"/>
    <n v="19.239999999999998"/>
    <n v="9"/>
    <n v="8.6579999999999995"/>
    <x v="369"/>
    <x v="26"/>
    <x v="181"/>
    <x v="0"/>
    <n v="173.16"/>
    <n v="4.7619047620000003"/>
    <n v="8.6579999999999995"/>
    <n v="7.1"/>
  </r>
  <r>
    <s v="481-97-3301"/>
    <x v="2"/>
    <x v="1"/>
    <x v="0"/>
    <x v="0"/>
    <x v="2"/>
    <n v="57.74"/>
    <n v="3"/>
    <n v="8.6609999999999996"/>
    <x v="370"/>
    <x v="76"/>
    <x v="283"/>
    <x v="1"/>
    <n v="173.22"/>
    <n v="4.7619047620000003"/>
    <n v="8.6609999999999996"/>
    <n v="7.7"/>
  </r>
  <r>
    <s v="779-42-2410"/>
    <x v="2"/>
    <x v="1"/>
    <x v="0"/>
    <x v="0"/>
    <x v="2"/>
    <n v="57.74"/>
    <n v="3"/>
    <n v="8.6609999999999996"/>
    <x v="370"/>
    <x v="76"/>
    <x v="283"/>
    <x v="1"/>
    <n v="173.22"/>
    <n v="4.7619047620000003"/>
    <n v="8.6609999999999996"/>
    <n v="7.7"/>
  </r>
  <r>
    <s v="628-45-1996"/>
    <x v="1"/>
    <x v="2"/>
    <x v="0"/>
    <x v="0"/>
    <x v="2"/>
    <n v="24.82"/>
    <n v="7"/>
    <n v="8.6869999999999994"/>
    <x v="371"/>
    <x v="59"/>
    <x v="284"/>
    <x v="2"/>
    <n v="173.74"/>
    <n v="4.7619047620000003"/>
    <n v="8.6869999999999994"/>
    <n v="7.1"/>
  </r>
  <r>
    <s v="873-14-6353"/>
    <x v="1"/>
    <x v="1"/>
    <x v="0"/>
    <x v="0"/>
    <x v="2"/>
    <n v="24.82"/>
    <n v="7"/>
    <n v="8.6869999999999994"/>
    <x v="371"/>
    <x v="59"/>
    <x v="284"/>
    <x v="0"/>
    <n v="173.74"/>
    <n v="4.7619047620000003"/>
    <n v="8.6869999999999994"/>
    <n v="7.1"/>
  </r>
  <r>
    <s v="148-77-2359"/>
    <x v="1"/>
    <x v="0"/>
    <x v="0"/>
    <x v="0"/>
    <x v="2"/>
    <n v="24.82"/>
    <n v="7"/>
    <n v="8.6869999999999994"/>
    <x v="371"/>
    <x v="59"/>
    <x v="284"/>
    <x v="2"/>
    <n v="173.74"/>
    <n v="4.7619047620000003"/>
    <n v="8.6869999999999994"/>
    <n v="7.2"/>
  </r>
  <r>
    <s v="666-27-2091"/>
    <x v="1"/>
    <x v="2"/>
    <x v="0"/>
    <x v="0"/>
    <x v="5"/>
    <n v="17.420000000000002"/>
    <n v="10"/>
    <n v="8.7100000000000009"/>
    <x v="372"/>
    <x v="21"/>
    <x v="285"/>
    <x v="1"/>
    <n v="174.2"/>
    <n v="4.7619047620000003"/>
    <n v="8.7100000000000009"/>
    <n v="7"/>
  </r>
  <r>
    <s v="807-14-7833"/>
    <x v="1"/>
    <x v="1"/>
    <x v="0"/>
    <x v="1"/>
    <x v="5"/>
    <n v="17.420000000000002"/>
    <n v="10"/>
    <n v="8.7100000000000009"/>
    <x v="372"/>
    <x v="21"/>
    <x v="285"/>
    <x v="1"/>
    <n v="174.2"/>
    <n v="4.7619047620000003"/>
    <n v="8.7100000000000009"/>
    <n v="7"/>
  </r>
  <r>
    <s v="541-20-9852"/>
    <x v="1"/>
    <x v="0"/>
    <x v="0"/>
    <x v="0"/>
    <x v="5"/>
    <n v="17.420000000000002"/>
    <n v="10"/>
    <n v="8.7100000000000009"/>
    <x v="372"/>
    <x v="21"/>
    <x v="285"/>
    <x v="1"/>
    <n v="174.2"/>
    <n v="4.7619047620000003"/>
    <n v="8.7100000000000009"/>
    <n v="7.3"/>
  </r>
  <r>
    <s v="706-36-6154"/>
    <x v="0"/>
    <x v="2"/>
    <x v="0"/>
    <x v="0"/>
    <x v="3"/>
    <n v="19.36"/>
    <n v="9"/>
    <n v="8.7119999999999997"/>
    <x v="373"/>
    <x v="40"/>
    <x v="94"/>
    <x v="0"/>
    <n v="174.24"/>
    <n v="4.7619047620000003"/>
    <n v="8.7119999999999997"/>
    <n v="8.6999999999999993"/>
  </r>
  <r>
    <s v="746-68-6593"/>
    <x v="0"/>
    <x v="0"/>
    <x v="0"/>
    <x v="0"/>
    <x v="0"/>
    <n v="87.16"/>
    <n v="2"/>
    <n v="8.7159999999999993"/>
    <x v="374"/>
    <x v="68"/>
    <x v="59"/>
    <x v="2"/>
    <n v="174.32"/>
    <n v="4.7619047620000003"/>
    <n v="8.7159999999999993"/>
    <n v="9.6999999999999993"/>
  </r>
  <r>
    <s v="629-42-4133"/>
    <x v="0"/>
    <x v="1"/>
    <x v="1"/>
    <x v="0"/>
    <x v="4"/>
    <n v="21.8"/>
    <n v="8"/>
    <n v="8.7200000000000006"/>
    <x v="375"/>
    <x v="87"/>
    <x v="80"/>
    <x v="0"/>
    <n v="174.4"/>
    <n v="4.7619047620000003"/>
    <n v="8.7200000000000006"/>
    <n v="8.3000000000000007"/>
  </r>
  <r>
    <s v="842-12-7825"/>
    <x v="0"/>
    <x v="0"/>
    <x v="1"/>
    <x v="0"/>
    <x v="4"/>
    <n v="21.8"/>
    <n v="8"/>
    <n v="8.7200000000000006"/>
    <x v="375"/>
    <x v="87"/>
    <x v="80"/>
    <x v="0"/>
    <n v="174.4"/>
    <n v="4.7619047620000003"/>
    <n v="8.7200000000000006"/>
    <n v="7.4"/>
  </r>
  <r>
    <s v="690-01-6631"/>
    <x v="2"/>
    <x v="1"/>
    <x v="1"/>
    <x v="0"/>
    <x v="1"/>
    <n v="17.489999999999998"/>
    <n v="10"/>
    <n v="8.7449999999999992"/>
    <x v="376"/>
    <x v="21"/>
    <x v="205"/>
    <x v="1"/>
    <n v="174.9"/>
    <n v="4.7619047620000003"/>
    <n v="8.7449999999999992"/>
    <n v="6.6"/>
  </r>
  <r>
    <s v="214-70-8545"/>
    <x v="0"/>
    <x v="0"/>
    <x v="0"/>
    <x v="0"/>
    <x v="0"/>
    <n v="29.22"/>
    <n v="6"/>
    <n v="8.766"/>
    <x v="377"/>
    <x v="85"/>
    <x v="88"/>
    <x v="1"/>
    <n v="175.32"/>
    <n v="4.7619047620000003"/>
    <n v="8.766"/>
    <n v="5"/>
  </r>
  <r>
    <s v="271-77-8740"/>
    <x v="0"/>
    <x v="1"/>
    <x v="0"/>
    <x v="1"/>
    <x v="0"/>
    <n v="29.22"/>
    <n v="6"/>
    <n v="8.766"/>
    <x v="377"/>
    <x v="85"/>
    <x v="88"/>
    <x v="0"/>
    <n v="175.32"/>
    <n v="4.7619047620000003"/>
    <n v="8.766"/>
    <n v="5"/>
  </r>
  <r>
    <s v="189-17-4241"/>
    <x v="1"/>
    <x v="2"/>
    <x v="1"/>
    <x v="1"/>
    <x v="1"/>
    <n v="87.67"/>
    <n v="2"/>
    <n v="8.7669999999999995"/>
    <x v="378"/>
    <x v="20"/>
    <x v="286"/>
    <x v="2"/>
    <n v="175.34"/>
    <n v="4.7619047620000003"/>
    <n v="8.7669999999999995"/>
    <n v="7.7"/>
  </r>
  <r>
    <s v="787-15-1757"/>
    <x v="0"/>
    <x v="1"/>
    <x v="1"/>
    <x v="0"/>
    <x v="4"/>
    <n v="44.07"/>
    <n v="4"/>
    <n v="8.8140000000000001"/>
    <x v="379"/>
    <x v="24"/>
    <x v="181"/>
    <x v="1"/>
    <n v="176.28"/>
    <n v="4.7619047620000003"/>
    <n v="8.8140000000000001"/>
    <n v="8.4"/>
  </r>
  <r>
    <s v="361-17-4568"/>
    <x v="1"/>
    <x v="2"/>
    <x v="0"/>
    <x v="0"/>
    <x v="5"/>
    <n v="25.22"/>
    <n v="7"/>
    <n v="8.827"/>
    <x v="380"/>
    <x v="4"/>
    <x v="191"/>
    <x v="0"/>
    <n v="176.54"/>
    <n v="4.7619047620000003"/>
    <n v="8.827"/>
    <n v="8.1999999999999993"/>
  </r>
  <r>
    <s v="745-71-3520"/>
    <x v="0"/>
    <x v="2"/>
    <x v="0"/>
    <x v="1"/>
    <x v="5"/>
    <n v="25.22"/>
    <n v="7"/>
    <n v="8.827"/>
    <x v="380"/>
    <x v="4"/>
    <x v="191"/>
    <x v="0"/>
    <n v="176.54"/>
    <n v="4.7619047620000003"/>
    <n v="8.827"/>
    <n v="8.1999999999999993"/>
  </r>
  <r>
    <s v="221-28-3167"/>
    <x v="0"/>
    <x v="2"/>
    <x v="0"/>
    <x v="0"/>
    <x v="2"/>
    <n v="25.22"/>
    <n v="7"/>
    <n v="8.827"/>
    <x v="380"/>
    <x v="4"/>
    <x v="191"/>
    <x v="0"/>
    <n v="176.54"/>
    <n v="4.7619047620000003"/>
    <n v="8.827"/>
    <n v="8.1999999999999993"/>
  </r>
  <r>
    <s v="175-54-2529"/>
    <x v="1"/>
    <x v="2"/>
    <x v="0"/>
    <x v="0"/>
    <x v="2"/>
    <n v="22.17"/>
    <n v="8"/>
    <n v="8.8680000000000003"/>
    <x v="381"/>
    <x v="18"/>
    <x v="287"/>
    <x v="2"/>
    <n v="177.36"/>
    <n v="4.7619047620000003"/>
    <n v="8.8680000000000003"/>
    <n v="9.6"/>
  </r>
  <r>
    <s v="734-88-6248"/>
    <x v="1"/>
    <x v="2"/>
    <x v="0"/>
    <x v="0"/>
    <x v="2"/>
    <n v="22.17"/>
    <n v="8"/>
    <n v="8.8680000000000003"/>
    <x v="381"/>
    <x v="18"/>
    <x v="287"/>
    <x v="2"/>
    <n v="177.36"/>
    <n v="4.7619047620000003"/>
    <n v="8.8680000000000003"/>
    <n v="9.6"/>
  </r>
  <r>
    <s v="258-92-7466"/>
    <x v="0"/>
    <x v="2"/>
    <x v="1"/>
    <x v="1"/>
    <x v="4"/>
    <n v="35.68"/>
    <n v="5"/>
    <n v="8.92"/>
    <x v="382"/>
    <x v="51"/>
    <x v="288"/>
    <x v="2"/>
    <n v="178.4"/>
    <n v="4.7619047620000003"/>
    <n v="8.92"/>
    <n v="6.6"/>
  </r>
  <r>
    <s v="282-48-3337"/>
    <x v="2"/>
    <x v="1"/>
    <x v="1"/>
    <x v="0"/>
    <x v="1"/>
    <n v="25.56"/>
    <n v="7"/>
    <n v="8.9459999999999997"/>
    <x v="383"/>
    <x v="11"/>
    <x v="289"/>
    <x v="0"/>
    <n v="178.92"/>
    <n v="4.7619047620000003"/>
    <n v="8.9459999999999997"/>
    <n v="7.1"/>
  </r>
  <r>
    <s v="418-05-0656"/>
    <x v="0"/>
    <x v="1"/>
    <x v="1"/>
    <x v="1"/>
    <x v="1"/>
    <n v="25.56"/>
    <n v="7"/>
    <n v="8.9459999999999997"/>
    <x v="383"/>
    <x v="11"/>
    <x v="289"/>
    <x v="0"/>
    <n v="178.92"/>
    <n v="4.7619047620000003"/>
    <n v="8.9459999999999997"/>
    <n v="7.1"/>
  </r>
  <r>
    <s v="666-44-2263"/>
    <x v="1"/>
    <x v="1"/>
    <x v="1"/>
    <x v="0"/>
    <x v="2"/>
    <n v="25.56"/>
    <n v="7"/>
    <n v="8.9459999999999997"/>
    <x v="383"/>
    <x v="11"/>
    <x v="289"/>
    <x v="1"/>
    <n v="178.92"/>
    <n v="4.7619047620000003"/>
    <n v="8.9459999999999997"/>
    <n v="7.1"/>
  </r>
  <r>
    <s v="518-81-7028"/>
    <x v="0"/>
    <x v="1"/>
    <x v="1"/>
    <x v="0"/>
    <x v="1"/>
    <n v="25.56"/>
    <n v="7"/>
    <n v="8.9459999999999997"/>
    <x v="383"/>
    <x v="11"/>
    <x v="289"/>
    <x v="0"/>
    <n v="178.92"/>
    <n v="4.7619047620000003"/>
    <n v="8.9459999999999997"/>
    <n v="7.1"/>
  </r>
  <r>
    <s v="373-88-1424"/>
    <x v="0"/>
    <x v="0"/>
    <x v="0"/>
    <x v="0"/>
    <x v="3"/>
    <n v="35.81"/>
    <n v="5"/>
    <n v="8.9525000000000006"/>
    <x v="384"/>
    <x v="51"/>
    <x v="290"/>
    <x v="0"/>
    <n v="179.05"/>
    <n v="4.7619047620000003"/>
    <n v="8.9525000000000006"/>
    <n v="7.9"/>
  </r>
  <r>
    <s v="764-77-8897"/>
    <x v="0"/>
    <x v="0"/>
    <x v="0"/>
    <x v="0"/>
    <x v="2"/>
    <n v="35.81"/>
    <n v="5"/>
    <n v="8.9525000000000006"/>
    <x v="384"/>
    <x v="51"/>
    <x v="290"/>
    <x v="0"/>
    <n v="179.05"/>
    <n v="4.7619047620000003"/>
    <n v="8.9525000000000006"/>
    <n v="7.9"/>
  </r>
  <r>
    <s v="222-55-7186"/>
    <x v="2"/>
    <x v="1"/>
    <x v="0"/>
    <x v="1"/>
    <x v="2"/>
    <n v="20.010000000000002"/>
    <n v="9"/>
    <n v="9.0045000000000002"/>
    <x v="385"/>
    <x v="51"/>
    <x v="291"/>
    <x v="1"/>
    <n v="180.09"/>
    <n v="4.7619047620000003"/>
    <n v="9.0045000000000002"/>
    <n v="4.0999999999999996"/>
  </r>
  <r>
    <s v="381-20-0914"/>
    <x v="1"/>
    <x v="2"/>
    <x v="0"/>
    <x v="0"/>
    <x v="1"/>
    <n v="20.010000000000002"/>
    <n v="9"/>
    <n v="9.0045000000000002"/>
    <x v="385"/>
    <x v="22"/>
    <x v="239"/>
    <x v="0"/>
    <n v="180.09"/>
    <n v="4.7619047620000003"/>
    <n v="9.0045000000000002"/>
    <n v="5.7"/>
  </r>
  <r>
    <s v="727-46-3608"/>
    <x v="2"/>
    <x v="1"/>
    <x v="0"/>
    <x v="0"/>
    <x v="2"/>
    <n v="20.010000000000002"/>
    <n v="9"/>
    <n v="9.0045000000000002"/>
    <x v="385"/>
    <x v="51"/>
    <x v="291"/>
    <x v="1"/>
    <n v="180.09"/>
    <n v="4.7619047620000003"/>
    <n v="9.0045000000000002"/>
    <n v="4.0999999999999996"/>
  </r>
  <r>
    <s v="151-11-5803"/>
    <x v="0"/>
    <x v="2"/>
    <x v="0"/>
    <x v="0"/>
    <x v="1"/>
    <n v="20.010000000000002"/>
    <n v="9"/>
    <n v="9.0045000000000002"/>
    <x v="385"/>
    <x v="22"/>
    <x v="239"/>
    <x v="0"/>
    <n v="180.09"/>
    <n v="4.7619047620000003"/>
    <n v="9.0045000000000002"/>
    <n v="5.7"/>
  </r>
  <r>
    <s v="585-03-5943"/>
    <x v="2"/>
    <x v="1"/>
    <x v="1"/>
    <x v="0"/>
    <x v="4"/>
    <n v="18.11"/>
    <n v="10"/>
    <n v="9.0549999999999997"/>
    <x v="386"/>
    <x v="57"/>
    <x v="223"/>
    <x v="1"/>
    <n v="181.1"/>
    <n v="4.7619047620000003"/>
    <n v="9.0549999999999997"/>
    <n v="5.9"/>
  </r>
  <r>
    <s v="704-10-4056"/>
    <x v="0"/>
    <x v="1"/>
    <x v="0"/>
    <x v="0"/>
    <x v="4"/>
    <n v="60.47"/>
    <n v="3"/>
    <n v="9.0704999999999991"/>
    <x v="387"/>
    <x v="9"/>
    <x v="256"/>
    <x v="2"/>
    <n v="181.41"/>
    <n v="4.7619047620000003"/>
    <n v="9.0704999999999991"/>
    <n v="5.6"/>
  </r>
  <r>
    <s v="750-57-9686"/>
    <x v="0"/>
    <x v="0"/>
    <x v="1"/>
    <x v="1"/>
    <x v="3"/>
    <n v="45.38"/>
    <n v="4"/>
    <n v="9.0760000000000005"/>
    <x v="388"/>
    <x v="3"/>
    <x v="119"/>
    <x v="2"/>
    <n v="181.52"/>
    <n v="4.7619047620000003"/>
    <n v="9.0760000000000005"/>
    <n v="8.6999999999999993"/>
  </r>
  <r>
    <s v="517-88-0526"/>
    <x v="1"/>
    <x v="2"/>
    <x v="1"/>
    <x v="0"/>
    <x v="5"/>
    <n v="26.02"/>
    <n v="7"/>
    <n v="9.1069999999999993"/>
    <x v="389"/>
    <x v="70"/>
    <x v="86"/>
    <x v="0"/>
    <n v="182.14"/>
    <n v="4.7619047620000003"/>
    <n v="9.1069999999999993"/>
    <n v="5.0999999999999996"/>
  </r>
  <r>
    <s v="531-80-1784"/>
    <x v="1"/>
    <x v="1"/>
    <x v="1"/>
    <x v="0"/>
    <x v="5"/>
    <n v="26.02"/>
    <n v="7"/>
    <n v="9.1069999999999993"/>
    <x v="389"/>
    <x v="70"/>
    <x v="86"/>
    <x v="0"/>
    <n v="182.14"/>
    <n v="4.7619047620000003"/>
    <n v="9.1069999999999993"/>
    <n v="5.0999999999999996"/>
  </r>
  <r>
    <s v="120-06-4233"/>
    <x v="0"/>
    <x v="0"/>
    <x v="1"/>
    <x v="0"/>
    <x v="5"/>
    <n v="30.61"/>
    <n v="6"/>
    <n v="9.1829999999999998"/>
    <x v="390"/>
    <x v="31"/>
    <x v="292"/>
    <x v="0"/>
    <n v="183.66"/>
    <n v="4.7619047620000003"/>
    <n v="9.1829999999999998"/>
    <n v="9.3000000000000007"/>
  </r>
  <r>
    <s v="824-76-4721"/>
    <x v="0"/>
    <x v="0"/>
    <x v="1"/>
    <x v="0"/>
    <x v="5"/>
    <n v="30.61"/>
    <n v="6"/>
    <n v="9.1829999999999998"/>
    <x v="390"/>
    <x v="31"/>
    <x v="292"/>
    <x v="0"/>
    <n v="183.66"/>
    <n v="4.7619047620000003"/>
    <n v="9.1829999999999998"/>
    <n v="9.3000000000000007"/>
  </r>
  <r>
    <s v="201-86-2184"/>
    <x v="2"/>
    <x v="1"/>
    <x v="0"/>
    <x v="1"/>
    <x v="5"/>
    <n v="26.26"/>
    <n v="7"/>
    <n v="9.1910000000000007"/>
    <x v="391"/>
    <x v="11"/>
    <x v="112"/>
    <x v="0"/>
    <n v="183.82"/>
    <n v="4.7619047620000003"/>
    <n v="9.1910000000000007"/>
    <n v="9.9"/>
  </r>
  <r>
    <s v="315-46-8732"/>
    <x v="2"/>
    <x v="1"/>
    <x v="0"/>
    <x v="0"/>
    <x v="5"/>
    <n v="26.26"/>
    <n v="7"/>
    <n v="9.1910000000000007"/>
    <x v="391"/>
    <x v="11"/>
    <x v="112"/>
    <x v="0"/>
    <n v="183.82"/>
    <n v="4.7619047620000003"/>
    <n v="9.1910000000000007"/>
    <n v="9.9"/>
  </r>
  <r>
    <s v="870-48-9776"/>
    <x v="2"/>
    <x v="1"/>
    <x v="0"/>
    <x v="0"/>
    <x v="5"/>
    <n v="26.26"/>
    <n v="7"/>
    <n v="9.1910000000000007"/>
    <x v="391"/>
    <x v="11"/>
    <x v="112"/>
    <x v="0"/>
    <n v="183.82"/>
    <n v="4.7619047620000003"/>
    <n v="9.1910000000000007"/>
    <n v="9.9"/>
  </r>
  <r>
    <s v="509-10-0516"/>
    <x v="2"/>
    <x v="1"/>
    <x v="1"/>
    <x v="0"/>
    <x v="3"/>
    <n v="45.97"/>
    <n v="4"/>
    <n v="9.1940000000000008"/>
    <x v="392"/>
    <x v="14"/>
    <x v="293"/>
    <x v="0"/>
    <n v="183.88"/>
    <n v="4.7619047620000003"/>
    <n v="9.1940000000000008"/>
    <n v="5.0999999999999996"/>
  </r>
  <r>
    <s v="258-69-7810"/>
    <x v="0"/>
    <x v="0"/>
    <x v="1"/>
    <x v="1"/>
    <x v="1"/>
    <n v="36.85"/>
    <n v="5"/>
    <n v="9.2125000000000004"/>
    <x v="393"/>
    <x v="1"/>
    <x v="174"/>
    <x v="0"/>
    <n v="184.25"/>
    <n v="4.7619047620000003"/>
    <n v="9.2125000000000004"/>
    <n v="9.1999999999999993"/>
  </r>
  <r>
    <s v="519-21-4785"/>
    <x v="0"/>
    <x v="0"/>
    <x v="1"/>
    <x v="0"/>
    <x v="1"/>
    <n v="36.85"/>
    <n v="5"/>
    <n v="9.2125000000000004"/>
    <x v="393"/>
    <x v="1"/>
    <x v="174"/>
    <x v="0"/>
    <n v="184.25"/>
    <n v="4.7619047620000003"/>
    <n v="9.2125000000000004"/>
    <n v="9.1999999999999993"/>
  </r>
  <r>
    <s v="651-61-0874"/>
    <x v="0"/>
    <x v="0"/>
    <x v="1"/>
    <x v="0"/>
    <x v="3"/>
    <n v="46.22"/>
    <n v="4"/>
    <n v="9.2439999999999998"/>
    <x v="394"/>
    <x v="31"/>
    <x v="294"/>
    <x v="2"/>
    <n v="184.88"/>
    <n v="4.7619047620000003"/>
    <n v="9.2439999999999998"/>
    <n v="6.2"/>
  </r>
  <r>
    <s v="677-70-2591"/>
    <x v="0"/>
    <x v="0"/>
    <x v="1"/>
    <x v="0"/>
    <x v="3"/>
    <n v="46.22"/>
    <n v="4"/>
    <n v="9.2439999999999998"/>
    <x v="394"/>
    <x v="31"/>
    <x v="294"/>
    <x v="2"/>
    <n v="184.88"/>
    <n v="4.7619047620000003"/>
    <n v="9.2439999999999998"/>
    <n v="7.5"/>
  </r>
  <r>
    <s v="416-64-1739"/>
    <x v="1"/>
    <x v="2"/>
    <x v="1"/>
    <x v="0"/>
    <x v="0"/>
    <n v="37.14"/>
    <n v="5"/>
    <n v="9.2850000000000001"/>
    <x v="395"/>
    <x v="3"/>
    <x v="295"/>
    <x v="0"/>
    <n v="185.7"/>
    <n v="4.7619047620000003"/>
    <n v="9.2850000000000001"/>
    <n v="5"/>
  </r>
  <r>
    <s v="674-15-9296"/>
    <x v="0"/>
    <x v="2"/>
    <x v="1"/>
    <x v="0"/>
    <x v="0"/>
    <n v="37.14"/>
    <n v="5"/>
    <n v="9.2850000000000001"/>
    <x v="395"/>
    <x v="3"/>
    <x v="295"/>
    <x v="1"/>
    <n v="185.7"/>
    <n v="4.7619047620000003"/>
    <n v="9.2850000000000001"/>
    <n v="5"/>
  </r>
  <r>
    <s v="864-66-5412"/>
    <x v="0"/>
    <x v="2"/>
    <x v="1"/>
    <x v="0"/>
    <x v="0"/>
    <n v="37.14"/>
    <n v="5"/>
    <n v="9.2850000000000001"/>
    <x v="395"/>
    <x v="3"/>
    <x v="295"/>
    <x v="0"/>
    <n v="185.7"/>
    <n v="4.7619047620000003"/>
    <n v="9.2850000000000001"/>
    <n v="5"/>
  </r>
  <r>
    <s v="438-40-6419"/>
    <x v="0"/>
    <x v="2"/>
    <x v="1"/>
    <x v="0"/>
    <x v="0"/>
    <n v="37.14"/>
    <n v="5"/>
    <n v="9.2850000000000001"/>
    <x v="395"/>
    <x v="3"/>
    <x v="295"/>
    <x v="1"/>
    <n v="185.7"/>
    <n v="4.7619047620000003"/>
    <n v="9.2850000000000001"/>
    <n v="7.6"/>
  </r>
  <r>
    <s v="732-04-5373"/>
    <x v="2"/>
    <x v="1"/>
    <x v="0"/>
    <x v="0"/>
    <x v="3"/>
    <n v="46.47"/>
    <n v="4"/>
    <n v="9.2940000000000005"/>
    <x v="396"/>
    <x v="13"/>
    <x v="296"/>
    <x v="0"/>
    <n v="185.88"/>
    <n v="4.7619047620000003"/>
    <n v="9.2940000000000005"/>
    <n v="7"/>
  </r>
  <r>
    <s v="339-18-7061"/>
    <x v="0"/>
    <x v="0"/>
    <x v="0"/>
    <x v="1"/>
    <x v="1"/>
    <n v="92.98"/>
    <n v="2"/>
    <n v="9.298"/>
    <x v="397"/>
    <x v="25"/>
    <x v="297"/>
    <x v="0"/>
    <n v="185.96"/>
    <n v="4.7619047620000003"/>
    <n v="9.298"/>
    <n v="8"/>
  </r>
  <r>
    <s v="416-39-8610"/>
    <x v="0"/>
    <x v="0"/>
    <x v="0"/>
    <x v="0"/>
    <x v="1"/>
    <n v="92.98"/>
    <n v="2"/>
    <n v="9.298"/>
    <x v="397"/>
    <x v="25"/>
    <x v="297"/>
    <x v="0"/>
    <n v="185.96"/>
    <n v="4.7619047620000003"/>
    <n v="9.298"/>
    <n v="8"/>
  </r>
  <r>
    <s v="288-39-4605"/>
    <x v="0"/>
    <x v="0"/>
    <x v="0"/>
    <x v="1"/>
    <x v="2"/>
    <n v="92.98"/>
    <n v="2"/>
    <n v="9.298"/>
    <x v="397"/>
    <x v="25"/>
    <x v="297"/>
    <x v="0"/>
    <n v="185.96"/>
    <n v="4.7619047620000003"/>
    <n v="9.298"/>
    <n v="8"/>
  </r>
  <r>
    <s v="692-14-5476"/>
    <x v="0"/>
    <x v="0"/>
    <x v="0"/>
    <x v="0"/>
    <x v="1"/>
    <n v="92.98"/>
    <n v="2"/>
    <n v="9.298"/>
    <x v="397"/>
    <x v="25"/>
    <x v="297"/>
    <x v="0"/>
    <n v="185.96"/>
    <n v="4.7619047620000003"/>
    <n v="9.298"/>
    <n v="8"/>
  </r>
  <r>
    <s v="645-78-8093"/>
    <x v="1"/>
    <x v="2"/>
    <x v="1"/>
    <x v="0"/>
    <x v="0"/>
    <n v="93.14"/>
    <n v="2"/>
    <n v="9.3140000000000001"/>
    <x v="398"/>
    <x v="84"/>
    <x v="298"/>
    <x v="1"/>
    <n v="186.28"/>
    <n v="4.7619047620000003"/>
    <n v="9.3140000000000001"/>
    <n v="4.0999999999999996"/>
  </r>
  <r>
    <s v="167-21-3329"/>
    <x v="1"/>
    <x v="0"/>
    <x v="1"/>
    <x v="0"/>
    <x v="0"/>
    <n v="93.14"/>
    <n v="2"/>
    <n v="9.3140000000000001"/>
    <x v="398"/>
    <x v="84"/>
    <x v="298"/>
    <x v="1"/>
    <n v="186.28"/>
    <n v="4.7619047620000003"/>
    <n v="9.3140000000000001"/>
    <n v="7.7"/>
  </r>
  <r>
    <s v="618-34-8551"/>
    <x v="1"/>
    <x v="1"/>
    <x v="1"/>
    <x v="1"/>
    <x v="0"/>
    <n v="93.18"/>
    <n v="2"/>
    <n v="9.3179999999999996"/>
    <x v="399"/>
    <x v="30"/>
    <x v="299"/>
    <x v="0"/>
    <n v="186.36"/>
    <n v="4.7619047620000003"/>
    <n v="9.3179999999999996"/>
    <n v="8.5"/>
  </r>
  <r>
    <s v="664-28-9811"/>
    <x v="1"/>
    <x v="2"/>
    <x v="1"/>
    <x v="0"/>
    <x v="0"/>
    <n v="93.18"/>
    <n v="2"/>
    <n v="9.3179999999999996"/>
    <x v="399"/>
    <x v="30"/>
    <x v="299"/>
    <x v="2"/>
    <n v="186.36"/>
    <n v="4.7619047620000003"/>
    <n v="9.3179999999999996"/>
    <n v="8.5"/>
  </r>
  <r>
    <s v="287-58-4922"/>
    <x v="1"/>
    <x v="1"/>
    <x v="1"/>
    <x v="1"/>
    <x v="0"/>
    <n v="93.18"/>
    <n v="2"/>
    <n v="9.3179999999999996"/>
    <x v="399"/>
    <x v="30"/>
    <x v="299"/>
    <x v="0"/>
    <n v="186.36"/>
    <n v="4.7619047620000003"/>
    <n v="9.3179999999999996"/>
    <n v="7.8"/>
  </r>
  <r>
    <s v="978-92-3176"/>
    <x v="1"/>
    <x v="0"/>
    <x v="1"/>
    <x v="0"/>
    <x v="0"/>
    <n v="93.18"/>
    <n v="2"/>
    <n v="9.3179999999999996"/>
    <x v="399"/>
    <x v="30"/>
    <x v="299"/>
    <x v="2"/>
    <n v="186.36"/>
    <n v="4.7619047620000003"/>
    <n v="9.3179999999999996"/>
    <n v="7.9"/>
  </r>
  <r>
    <s v="142-72-4741"/>
    <x v="0"/>
    <x v="0"/>
    <x v="0"/>
    <x v="0"/>
    <x v="1"/>
    <n v="93.2"/>
    <n v="2"/>
    <n v="9.32"/>
    <x v="400"/>
    <x v="60"/>
    <x v="219"/>
    <x v="2"/>
    <n v="186.4"/>
    <n v="4.7619047620000003"/>
    <n v="9.32"/>
    <n v="6"/>
  </r>
  <r>
    <s v="282-35-2475"/>
    <x v="0"/>
    <x v="1"/>
    <x v="1"/>
    <x v="1"/>
    <x v="0"/>
    <n v="93.31"/>
    <n v="2"/>
    <n v="9.3309999999999995"/>
    <x v="401"/>
    <x v="48"/>
    <x v="300"/>
    <x v="0"/>
    <n v="186.62"/>
    <n v="4.7619047620000003"/>
    <n v="9.3309999999999995"/>
    <n v="6.3"/>
  </r>
  <r>
    <s v="444-68-7754"/>
    <x v="2"/>
    <x v="1"/>
    <x v="1"/>
    <x v="0"/>
    <x v="0"/>
    <n v="93.31"/>
    <n v="2"/>
    <n v="9.3309999999999995"/>
    <x v="401"/>
    <x v="48"/>
    <x v="300"/>
    <x v="0"/>
    <n v="186.62"/>
    <n v="4.7619047620000003"/>
    <n v="9.3309999999999995"/>
    <n v="6.3"/>
  </r>
  <r>
    <s v="102-75-7744"/>
    <x v="1"/>
    <x v="1"/>
    <x v="1"/>
    <x v="1"/>
    <x v="2"/>
    <n v="93.31"/>
    <n v="2"/>
    <n v="9.3309999999999995"/>
    <x v="401"/>
    <x v="48"/>
    <x v="300"/>
    <x v="1"/>
    <n v="186.62"/>
    <n v="4.7619047620000003"/>
    <n v="9.3309999999999995"/>
    <n v="6.3"/>
  </r>
  <r>
    <s v="963-12-4619"/>
    <x v="0"/>
    <x v="1"/>
    <x v="1"/>
    <x v="0"/>
    <x v="0"/>
    <n v="93.31"/>
    <n v="2"/>
    <n v="9.3309999999999995"/>
    <x v="401"/>
    <x v="48"/>
    <x v="300"/>
    <x v="0"/>
    <n v="186.62"/>
    <n v="4.7619047620000003"/>
    <n v="9.3309999999999995"/>
    <n v="6.3"/>
  </r>
  <r>
    <s v="642-61-4706"/>
    <x v="2"/>
    <x v="1"/>
    <x v="0"/>
    <x v="0"/>
    <x v="2"/>
    <n v="93.4"/>
    <n v="2"/>
    <n v="9.34"/>
    <x v="402"/>
    <x v="80"/>
    <x v="177"/>
    <x v="0"/>
    <n v="186.8"/>
    <n v="4.7619047620000003"/>
    <n v="9.34"/>
    <n v="5.5"/>
  </r>
  <r>
    <s v="748-80-5067"/>
    <x v="2"/>
    <x v="1"/>
    <x v="0"/>
    <x v="0"/>
    <x v="2"/>
    <n v="93.4"/>
    <n v="2"/>
    <n v="9.34"/>
    <x v="402"/>
    <x v="80"/>
    <x v="177"/>
    <x v="0"/>
    <n v="186.8"/>
    <n v="4.7619047620000003"/>
    <n v="9.34"/>
    <n v="5.5"/>
  </r>
  <r>
    <s v="460-67-9962"/>
    <x v="2"/>
    <x v="0"/>
    <x v="0"/>
    <x v="0"/>
    <x v="2"/>
    <n v="93.4"/>
    <n v="2"/>
    <n v="9.34"/>
    <x v="402"/>
    <x v="80"/>
    <x v="177"/>
    <x v="0"/>
    <n v="186.8"/>
    <n v="4.7619047620000003"/>
    <n v="9.34"/>
    <n v="8"/>
  </r>
  <r>
    <s v="250-17-5703"/>
    <x v="1"/>
    <x v="1"/>
    <x v="0"/>
    <x v="0"/>
    <x v="2"/>
    <n v="18.850000000000001"/>
    <n v="10"/>
    <n v="9.4250000000000007"/>
    <x v="403"/>
    <x v="46"/>
    <x v="301"/>
    <x v="1"/>
    <n v="188.5"/>
    <n v="4.7619047620000003"/>
    <n v="9.4250000000000007"/>
    <n v="5.6"/>
  </r>
  <r>
    <s v="513-14-2389"/>
    <x v="1"/>
    <x v="2"/>
    <x v="0"/>
    <x v="0"/>
    <x v="2"/>
    <n v="18.850000000000001"/>
    <n v="10"/>
    <n v="9.4250000000000007"/>
    <x v="403"/>
    <x v="46"/>
    <x v="301"/>
    <x v="1"/>
    <n v="188.5"/>
    <n v="4.7619047620000003"/>
    <n v="9.4250000000000007"/>
    <n v="5.6"/>
  </r>
  <r>
    <s v="375-72-3056"/>
    <x v="0"/>
    <x v="1"/>
    <x v="1"/>
    <x v="0"/>
    <x v="0"/>
    <n v="63.06"/>
    <n v="3"/>
    <n v="9.4589999999999996"/>
    <x v="404"/>
    <x v="35"/>
    <x v="302"/>
    <x v="0"/>
    <n v="189.18"/>
    <n v="4.7619047620000003"/>
    <n v="9.4589999999999996"/>
    <n v="7"/>
  </r>
  <r>
    <s v="950-94-1459"/>
    <x v="2"/>
    <x v="1"/>
    <x v="1"/>
    <x v="0"/>
    <x v="2"/>
    <n v="63.06"/>
    <n v="3"/>
    <n v="9.4589999999999996"/>
    <x v="404"/>
    <x v="35"/>
    <x v="302"/>
    <x v="1"/>
    <n v="189.18"/>
    <n v="4.7619047620000003"/>
    <n v="9.4589999999999996"/>
    <n v="7"/>
  </r>
  <r>
    <s v="663-94-5113"/>
    <x v="0"/>
    <x v="1"/>
    <x v="1"/>
    <x v="0"/>
    <x v="2"/>
    <n v="63.06"/>
    <n v="3"/>
    <n v="9.4589999999999996"/>
    <x v="404"/>
    <x v="35"/>
    <x v="302"/>
    <x v="0"/>
    <n v="189.18"/>
    <n v="4.7619047620000003"/>
    <n v="9.4589999999999996"/>
    <n v="7"/>
  </r>
  <r>
    <s v="565-80-5980"/>
    <x v="0"/>
    <x v="0"/>
    <x v="0"/>
    <x v="0"/>
    <x v="3"/>
    <n v="47.38"/>
    <n v="4"/>
    <n v="9.4760000000000009"/>
    <x v="405"/>
    <x v="27"/>
    <x v="91"/>
    <x v="0"/>
    <n v="189.52"/>
    <n v="4.7619047620000003"/>
    <n v="9.4760000000000009"/>
    <n v="7.1"/>
  </r>
  <r>
    <s v="565-17-3836"/>
    <x v="1"/>
    <x v="1"/>
    <x v="1"/>
    <x v="1"/>
    <x v="4"/>
    <n v="47.67"/>
    <n v="4"/>
    <n v="9.5340000000000007"/>
    <x v="406"/>
    <x v="31"/>
    <x v="303"/>
    <x v="0"/>
    <n v="190.68"/>
    <n v="4.7619047620000003"/>
    <n v="9.5340000000000007"/>
    <n v="9.1"/>
  </r>
  <r>
    <s v="288-62-1085"/>
    <x v="1"/>
    <x v="1"/>
    <x v="0"/>
    <x v="0"/>
    <x v="1"/>
    <n v="38.54"/>
    <n v="5"/>
    <n v="9.6349999999999998"/>
    <x v="407"/>
    <x v="62"/>
    <x v="231"/>
    <x v="0"/>
    <n v="192.7"/>
    <n v="4.7619047620000003"/>
    <n v="9.6349999999999998"/>
    <n v="5.6"/>
  </r>
  <r>
    <s v="675-16-7867"/>
    <x v="1"/>
    <x v="1"/>
    <x v="0"/>
    <x v="0"/>
    <x v="2"/>
    <n v="38.54"/>
    <n v="5"/>
    <n v="9.6349999999999998"/>
    <x v="407"/>
    <x v="62"/>
    <x v="231"/>
    <x v="1"/>
    <n v="192.7"/>
    <n v="4.7619047620000003"/>
    <n v="9.6349999999999998"/>
    <n v="5.6"/>
  </r>
  <r>
    <s v="595-11-5460"/>
    <x v="1"/>
    <x v="2"/>
    <x v="1"/>
    <x v="0"/>
    <x v="4"/>
    <n v="96.58"/>
    <n v="2"/>
    <n v="9.6579999999999995"/>
    <x v="408"/>
    <x v="54"/>
    <x v="304"/>
    <x v="2"/>
    <n v="193.16"/>
    <n v="4.7619047620000003"/>
    <n v="9.6579999999999995"/>
    <n v="5.0999999999999996"/>
  </r>
  <r>
    <s v="713-78-9301"/>
    <x v="1"/>
    <x v="2"/>
    <x v="0"/>
    <x v="0"/>
    <x v="5"/>
    <n v="24.18"/>
    <n v="8"/>
    <n v="9.6720000000000006"/>
    <x v="409"/>
    <x v="12"/>
    <x v="270"/>
    <x v="1"/>
    <n v="193.44"/>
    <n v="4.7619047620000003"/>
    <n v="9.6720000000000006"/>
    <n v="9.8000000000000007"/>
  </r>
  <r>
    <s v="726-29-6793"/>
    <x v="0"/>
    <x v="2"/>
    <x v="0"/>
    <x v="0"/>
    <x v="5"/>
    <n v="24.18"/>
    <n v="8"/>
    <n v="9.6720000000000006"/>
    <x v="409"/>
    <x v="12"/>
    <x v="270"/>
    <x v="0"/>
    <n v="193.44"/>
    <n v="4.7619047620000003"/>
    <n v="9.6720000000000006"/>
    <n v="9.8000000000000007"/>
  </r>
  <r>
    <s v="254-31-0042"/>
    <x v="1"/>
    <x v="1"/>
    <x v="0"/>
    <x v="0"/>
    <x v="5"/>
    <n v="21.5"/>
    <n v="9"/>
    <n v="9.6750000000000007"/>
    <x v="410"/>
    <x v="37"/>
    <x v="305"/>
    <x v="2"/>
    <n v="193.5"/>
    <n v="4.7619047620000003"/>
    <n v="9.6750000000000007"/>
    <n v="7.8"/>
  </r>
  <r>
    <s v="664-77-1120"/>
    <x v="1"/>
    <x v="2"/>
    <x v="0"/>
    <x v="0"/>
    <x v="5"/>
    <n v="21.5"/>
    <n v="9"/>
    <n v="9.6750000000000007"/>
    <x v="410"/>
    <x v="37"/>
    <x v="305"/>
    <x v="2"/>
    <n v="193.5"/>
    <n v="4.7619047620000003"/>
    <n v="9.6750000000000007"/>
    <n v="7.8"/>
  </r>
  <r>
    <s v="247-72-6057"/>
    <x v="1"/>
    <x v="0"/>
    <x v="0"/>
    <x v="0"/>
    <x v="5"/>
    <n v="21.5"/>
    <n v="9"/>
    <n v="9.6750000000000007"/>
    <x v="410"/>
    <x v="37"/>
    <x v="305"/>
    <x v="2"/>
    <n v="193.5"/>
    <n v="4.7619047620000003"/>
    <n v="9.6750000000000007"/>
    <n v="8.1"/>
  </r>
  <r>
    <s v="126-54-1082"/>
    <x v="1"/>
    <x v="1"/>
    <x v="0"/>
    <x v="0"/>
    <x v="3"/>
    <n v="21.54"/>
    <n v="9"/>
    <n v="9.6929999999999996"/>
    <x v="411"/>
    <x v="65"/>
    <x v="185"/>
    <x v="2"/>
    <n v="193.86"/>
    <n v="4.7619047620000003"/>
    <n v="9.6929999999999996"/>
    <n v="8.8000000000000007"/>
  </r>
  <r>
    <s v="174-75-0888"/>
    <x v="0"/>
    <x v="1"/>
    <x v="1"/>
    <x v="0"/>
    <x v="5"/>
    <n v="21.58"/>
    <n v="9"/>
    <n v="9.7110000000000003"/>
    <x v="412"/>
    <x v="45"/>
    <x v="306"/>
    <x v="0"/>
    <n v="194.22"/>
    <n v="4.7619047620000003"/>
    <n v="9.7110000000000003"/>
    <n v="7.3"/>
  </r>
  <r>
    <s v="657-38-1971"/>
    <x v="2"/>
    <x v="1"/>
    <x v="1"/>
    <x v="0"/>
    <x v="5"/>
    <n v="21.58"/>
    <n v="9"/>
    <n v="9.7110000000000003"/>
    <x v="412"/>
    <x v="45"/>
    <x v="306"/>
    <x v="0"/>
    <n v="194.22"/>
    <n v="4.7619047620000003"/>
    <n v="9.7110000000000003"/>
    <n v="7.3"/>
  </r>
  <r>
    <s v="808-81-4866"/>
    <x v="2"/>
    <x v="0"/>
    <x v="1"/>
    <x v="0"/>
    <x v="5"/>
    <n v="21.58"/>
    <n v="9"/>
    <n v="9.7110000000000003"/>
    <x v="412"/>
    <x v="45"/>
    <x v="306"/>
    <x v="0"/>
    <n v="194.22"/>
    <n v="4.7619047620000003"/>
    <n v="9.7110000000000003"/>
    <n v="8.1999999999999993"/>
  </r>
  <r>
    <s v="518-17-2983"/>
    <x v="1"/>
    <x v="2"/>
    <x v="1"/>
    <x v="1"/>
    <x v="1"/>
    <n v="48.63"/>
    <n v="4"/>
    <n v="9.7260000000000009"/>
    <x v="413"/>
    <x v="4"/>
    <x v="30"/>
    <x v="1"/>
    <n v="194.52"/>
    <n v="4.7619047620000003"/>
    <n v="9.7260000000000009"/>
    <n v="7.6"/>
  </r>
  <r>
    <s v="755-94-3856"/>
    <x v="1"/>
    <x v="2"/>
    <x v="1"/>
    <x v="0"/>
    <x v="1"/>
    <n v="48.63"/>
    <n v="4"/>
    <n v="9.7260000000000009"/>
    <x v="413"/>
    <x v="4"/>
    <x v="30"/>
    <x v="1"/>
    <n v="194.52"/>
    <n v="4.7619047620000003"/>
    <n v="9.7260000000000009"/>
    <n v="7.6"/>
  </r>
  <r>
    <s v="558-80-4082"/>
    <x v="0"/>
    <x v="1"/>
    <x v="1"/>
    <x v="0"/>
    <x v="5"/>
    <n v="27.85"/>
    <n v="7"/>
    <n v="9.7475000000000005"/>
    <x v="414"/>
    <x v="45"/>
    <x v="307"/>
    <x v="1"/>
    <n v="194.95"/>
    <n v="4.7619047620000003"/>
    <n v="9.7475000000000005"/>
    <n v="6"/>
  </r>
  <r>
    <s v="775-94-2832"/>
    <x v="0"/>
    <x v="0"/>
    <x v="1"/>
    <x v="0"/>
    <x v="5"/>
    <n v="27.85"/>
    <n v="7"/>
    <n v="9.7475000000000005"/>
    <x v="414"/>
    <x v="45"/>
    <x v="307"/>
    <x v="1"/>
    <n v="194.95"/>
    <n v="4.7619047620000003"/>
    <n v="9.7475000000000005"/>
    <n v="6"/>
  </r>
  <r>
    <s v="502-05-1910"/>
    <x v="0"/>
    <x v="2"/>
    <x v="1"/>
    <x v="0"/>
    <x v="4"/>
    <n v="65.180000000000007"/>
    <n v="3"/>
    <n v="9.7769999999999992"/>
    <x v="415"/>
    <x v="42"/>
    <x v="308"/>
    <x v="2"/>
    <n v="195.54"/>
    <n v="4.7619047620000003"/>
    <n v="9.7769999999999992"/>
    <n v="6.3"/>
  </r>
  <r>
    <s v="322-99-2609"/>
    <x v="1"/>
    <x v="2"/>
    <x v="0"/>
    <x v="0"/>
    <x v="1"/>
    <n v="19.66"/>
    <n v="10"/>
    <n v="9.83"/>
    <x v="416"/>
    <x v="54"/>
    <x v="309"/>
    <x v="0"/>
    <n v="196.6"/>
    <n v="4.7619047620000003"/>
    <n v="9.83"/>
    <n v="7.2"/>
  </r>
  <r>
    <s v="510-09-5628"/>
    <x v="0"/>
    <x v="2"/>
    <x v="0"/>
    <x v="1"/>
    <x v="1"/>
    <n v="19.66"/>
    <n v="10"/>
    <n v="9.83"/>
    <x v="416"/>
    <x v="54"/>
    <x v="309"/>
    <x v="0"/>
    <n v="196.6"/>
    <n v="4.7619047620000003"/>
    <n v="9.83"/>
    <n v="7.2"/>
  </r>
  <r>
    <s v="601-22-2021"/>
    <x v="1"/>
    <x v="2"/>
    <x v="0"/>
    <x v="0"/>
    <x v="1"/>
    <n v="19.66"/>
    <n v="10"/>
    <n v="9.83"/>
    <x v="416"/>
    <x v="54"/>
    <x v="309"/>
    <x v="0"/>
    <n v="196.6"/>
    <n v="4.7619047620000003"/>
    <n v="9.83"/>
    <n v="7.2"/>
  </r>
  <r>
    <s v="521-18-7827"/>
    <x v="0"/>
    <x v="0"/>
    <x v="0"/>
    <x v="0"/>
    <x v="3"/>
    <n v="39.39"/>
    <n v="5"/>
    <n v="9.8475000000000001"/>
    <x v="417"/>
    <x v="81"/>
    <x v="211"/>
    <x v="0"/>
    <n v="196.95"/>
    <n v="4.7619047620000003"/>
    <n v="9.8475000000000001"/>
    <n v="8.6999999999999993"/>
  </r>
  <r>
    <s v="409-33-9708"/>
    <x v="1"/>
    <x v="1"/>
    <x v="1"/>
    <x v="1"/>
    <x v="1"/>
    <n v="98.48"/>
    <n v="2"/>
    <n v="9.8480000000000008"/>
    <x v="418"/>
    <x v="87"/>
    <x v="304"/>
    <x v="0"/>
    <n v="196.96"/>
    <n v="4.7619047620000003"/>
    <n v="9.8480000000000008"/>
    <n v="9.1999999999999993"/>
  </r>
  <r>
    <s v="278-16-4361"/>
    <x v="0"/>
    <x v="1"/>
    <x v="1"/>
    <x v="0"/>
    <x v="1"/>
    <n v="98.48"/>
    <n v="2"/>
    <n v="9.8480000000000008"/>
    <x v="418"/>
    <x v="87"/>
    <x v="304"/>
    <x v="0"/>
    <n v="196.96"/>
    <n v="4.7619047620000003"/>
    <n v="9.8480000000000008"/>
    <n v="9.1999999999999993"/>
  </r>
  <r>
    <s v="489-98-8510"/>
    <x v="0"/>
    <x v="0"/>
    <x v="1"/>
    <x v="0"/>
    <x v="0"/>
    <n v="98.8"/>
    <n v="2"/>
    <n v="9.8800000000000008"/>
    <x v="419"/>
    <x v="2"/>
    <x v="13"/>
    <x v="0"/>
    <n v="197.6"/>
    <n v="4.7619047620000003"/>
    <n v="9.8800000000000008"/>
    <n v="7.7"/>
  </r>
  <r>
    <s v="714-02-3114"/>
    <x v="0"/>
    <x v="0"/>
    <x v="1"/>
    <x v="1"/>
    <x v="0"/>
    <n v="98.8"/>
    <n v="2"/>
    <n v="9.8800000000000008"/>
    <x v="419"/>
    <x v="2"/>
    <x v="13"/>
    <x v="0"/>
    <n v="197.6"/>
    <n v="4.7619047620000003"/>
    <n v="9.8800000000000008"/>
    <n v="7.7"/>
  </r>
  <r>
    <s v="191-29-0321"/>
    <x v="0"/>
    <x v="1"/>
    <x v="0"/>
    <x v="1"/>
    <x v="1"/>
    <n v="19.77"/>
    <n v="10"/>
    <n v="9.8849999999999998"/>
    <x v="420"/>
    <x v="46"/>
    <x v="310"/>
    <x v="2"/>
    <n v="197.7"/>
    <n v="4.7619047620000003"/>
    <n v="9.8849999999999998"/>
    <n v="5"/>
  </r>
  <r>
    <s v="981-80-6573"/>
    <x v="1"/>
    <x v="1"/>
    <x v="0"/>
    <x v="1"/>
    <x v="2"/>
    <n v="19.77"/>
    <n v="10"/>
    <n v="9.8849999999999998"/>
    <x v="420"/>
    <x v="46"/>
    <x v="310"/>
    <x v="2"/>
    <n v="197.7"/>
    <n v="4.7619047620000003"/>
    <n v="9.8849999999999998"/>
    <n v="5"/>
  </r>
  <r>
    <s v="214-87-4857"/>
    <x v="2"/>
    <x v="1"/>
    <x v="0"/>
    <x v="0"/>
    <x v="0"/>
    <n v="49.49"/>
    <n v="4"/>
    <n v="9.8979999999999997"/>
    <x v="421"/>
    <x v="78"/>
    <x v="311"/>
    <x v="1"/>
    <n v="197.96"/>
    <n v="4.7619047620000003"/>
    <n v="9.8979999999999997"/>
    <n v="6.6"/>
  </r>
  <r>
    <s v="438-01-4015"/>
    <x v="0"/>
    <x v="1"/>
    <x v="0"/>
    <x v="1"/>
    <x v="0"/>
    <n v="49.49"/>
    <n v="4"/>
    <n v="9.8979999999999997"/>
    <x v="421"/>
    <x v="78"/>
    <x v="311"/>
    <x v="0"/>
    <n v="197.96"/>
    <n v="4.7619047620000003"/>
    <n v="9.8979999999999997"/>
    <n v="6.6"/>
  </r>
  <r>
    <s v="472-87-3571"/>
    <x v="0"/>
    <x v="1"/>
    <x v="1"/>
    <x v="1"/>
    <x v="0"/>
    <n v="49.49"/>
    <n v="4"/>
    <n v="9.8979999999999997"/>
    <x v="421"/>
    <x v="78"/>
    <x v="311"/>
    <x v="0"/>
    <n v="197.96"/>
    <n v="4.7619047620000003"/>
    <n v="9.8979999999999997"/>
    <n v="6.6"/>
  </r>
  <r>
    <s v="868-81-1752"/>
    <x v="2"/>
    <x v="1"/>
    <x v="1"/>
    <x v="0"/>
    <x v="2"/>
    <n v="22.02"/>
    <n v="9"/>
    <n v="9.9090000000000007"/>
    <x v="422"/>
    <x v="0"/>
    <x v="312"/>
    <x v="0"/>
    <n v="198.18"/>
    <n v="4.7619047620000003"/>
    <n v="9.9090000000000007"/>
    <n v="6.8"/>
  </r>
  <r>
    <s v="311-95-7893"/>
    <x v="2"/>
    <x v="1"/>
    <x v="1"/>
    <x v="0"/>
    <x v="1"/>
    <n v="99.25"/>
    <n v="2"/>
    <n v="9.9250000000000007"/>
    <x v="423"/>
    <x v="34"/>
    <x v="313"/>
    <x v="0"/>
    <n v="198.5"/>
    <n v="4.7619047620000003"/>
    <n v="9.9250000000000007"/>
    <n v="9"/>
  </r>
  <r>
    <s v="514-37-2845"/>
    <x v="0"/>
    <x v="1"/>
    <x v="1"/>
    <x v="0"/>
    <x v="1"/>
    <n v="99.25"/>
    <n v="2"/>
    <n v="9.9250000000000007"/>
    <x v="423"/>
    <x v="34"/>
    <x v="313"/>
    <x v="0"/>
    <n v="198.5"/>
    <n v="4.7619047620000003"/>
    <n v="9.9250000000000007"/>
    <n v="9"/>
  </r>
  <r>
    <s v="685-11-3338"/>
    <x v="2"/>
    <x v="1"/>
    <x v="1"/>
    <x v="0"/>
    <x v="1"/>
    <n v="99.25"/>
    <n v="2"/>
    <n v="9.9250000000000007"/>
    <x v="423"/>
    <x v="34"/>
    <x v="313"/>
    <x v="0"/>
    <n v="198.5"/>
    <n v="4.7619047620000003"/>
    <n v="9.9250000000000007"/>
    <n v="9"/>
  </r>
  <r>
    <s v="174-36-3675"/>
    <x v="0"/>
    <x v="1"/>
    <x v="1"/>
    <x v="0"/>
    <x v="2"/>
    <n v="99.37"/>
    <n v="2"/>
    <n v="9.9369999999999994"/>
    <x v="424"/>
    <x v="83"/>
    <x v="314"/>
    <x v="0"/>
    <n v="198.74"/>
    <n v="4.7619047620000003"/>
    <n v="9.9369999999999994"/>
    <n v="5.2"/>
  </r>
  <r>
    <s v="345-88-4313"/>
    <x v="0"/>
    <x v="0"/>
    <x v="0"/>
    <x v="0"/>
    <x v="2"/>
    <n v="99.37"/>
    <n v="2"/>
    <n v="9.9369999999999994"/>
    <x v="424"/>
    <x v="83"/>
    <x v="314"/>
    <x v="0"/>
    <n v="198.74"/>
    <n v="4.7619047620000003"/>
    <n v="9.9369999999999994"/>
    <n v="5.2"/>
  </r>
  <r>
    <s v="319-70-2345"/>
    <x v="0"/>
    <x v="0"/>
    <x v="0"/>
    <x v="0"/>
    <x v="2"/>
    <n v="99.37"/>
    <n v="2"/>
    <n v="9.9369999999999994"/>
    <x v="424"/>
    <x v="83"/>
    <x v="314"/>
    <x v="0"/>
    <n v="198.74"/>
    <n v="4.7619047620000003"/>
    <n v="9.9369999999999994"/>
    <n v="5.2"/>
  </r>
  <r>
    <s v="752-91-7288"/>
    <x v="2"/>
    <x v="1"/>
    <x v="1"/>
    <x v="0"/>
    <x v="1"/>
    <n v="39.75"/>
    <n v="5"/>
    <n v="9.9375"/>
    <x v="425"/>
    <x v="21"/>
    <x v="228"/>
    <x v="1"/>
    <n v="198.75"/>
    <n v="4.7619047620000003"/>
    <n v="9.9375"/>
    <n v="9.6"/>
  </r>
  <r>
    <s v="831-64-0259"/>
    <x v="0"/>
    <x v="1"/>
    <x v="1"/>
    <x v="1"/>
    <x v="1"/>
    <n v="39.75"/>
    <n v="5"/>
    <n v="9.9375"/>
    <x v="425"/>
    <x v="21"/>
    <x v="228"/>
    <x v="1"/>
    <n v="198.75"/>
    <n v="4.7619047620000003"/>
    <n v="9.9375"/>
    <n v="9.6"/>
  </r>
  <r>
    <s v="544-32-5024"/>
    <x v="0"/>
    <x v="0"/>
    <x v="0"/>
    <x v="1"/>
    <x v="2"/>
    <n v="49.79"/>
    <n v="4"/>
    <n v="9.9580000000000002"/>
    <x v="426"/>
    <x v="70"/>
    <x v="315"/>
    <x v="0"/>
    <n v="199.16"/>
    <n v="4.7619047620000003"/>
    <n v="9.9580000000000002"/>
    <n v="6.4"/>
  </r>
  <r>
    <s v="570-86-9761"/>
    <x v="0"/>
    <x v="0"/>
    <x v="0"/>
    <x v="1"/>
    <x v="2"/>
    <n v="49.79"/>
    <n v="4"/>
    <n v="9.9580000000000002"/>
    <x v="426"/>
    <x v="70"/>
    <x v="315"/>
    <x v="2"/>
    <n v="199.16"/>
    <n v="4.7619047620000003"/>
    <n v="9.9580000000000002"/>
    <n v="6.4"/>
  </r>
  <r>
    <s v="471-41-2823"/>
    <x v="0"/>
    <x v="1"/>
    <x v="1"/>
    <x v="0"/>
    <x v="2"/>
    <n v="99.79"/>
    <n v="2"/>
    <n v="9.9789999999999992"/>
    <x v="427"/>
    <x v="33"/>
    <x v="220"/>
    <x v="1"/>
    <n v="199.58"/>
    <n v="4.7619047620000003"/>
    <n v="9.9789999999999992"/>
    <n v="8"/>
  </r>
  <r>
    <s v="620-97-5855"/>
    <x v="0"/>
    <x v="0"/>
    <x v="1"/>
    <x v="0"/>
    <x v="2"/>
    <n v="99.79"/>
    <n v="2"/>
    <n v="9.9789999999999992"/>
    <x v="427"/>
    <x v="33"/>
    <x v="220"/>
    <x v="1"/>
    <n v="199.58"/>
    <n v="4.7619047620000003"/>
    <n v="9.9789999999999992"/>
    <n v="8"/>
  </r>
  <r>
    <s v="257-83-5719"/>
    <x v="0"/>
    <x v="0"/>
    <x v="1"/>
    <x v="0"/>
    <x v="2"/>
    <n v="99.79"/>
    <n v="2"/>
    <n v="9.9789999999999992"/>
    <x v="427"/>
    <x v="33"/>
    <x v="220"/>
    <x v="1"/>
    <n v="199.58"/>
    <n v="4.7619047620000003"/>
    <n v="9.9789999999999992"/>
    <n v="8.3000000000000007"/>
  </r>
  <r>
    <s v="446-47-6729"/>
    <x v="0"/>
    <x v="1"/>
    <x v="1"/>
    <x v="0"/>
    <x v="1"/>
    <n v="99.82"/>
    <n v="2"/>
    <n v="9.9819999999999993"/>
    <x v="428"/>
    <x v="44"/>
    <x v="298"/>
    <x v="0"/>
    <n v="199.64"/>
    <n v="4.7619047620000003"/>
    <n v="9.9819999999999993"/>
    <n v="6.7"/>
  </r>
  <r>
    <s v="828-49-1771"/>
    <x v="0"/>
    <x v="1"/>
    <x v="1"/>
    <x v="0"/>
    <x v="1"/>
    <n v="99.82"/>
    <n v="2"/>
    <n v="9.9819999999999993"/>
    <x v="428"/>
    <x v="44"/>
    <x v="298"/>
    <x v="0"/>
    <n v="199.64"/>
    <n v="4.7619047620000003"/>
    <n v="9.9819999999999993"/>
    <n v="6.7"/>
  </r>
  <r>
    <s v="421-72-1167"/>
    <x v="0"/>
    <x v="1"/>
    <x v="1"/>
    <x v="0"/>
    <x v="2"/>
    <n v="99.82"/>
    <n v="2"/>
    <n v="9.9819999999999993"/>
    <x v="428"/>
    <x v="44"/>
    <x v="298"/>
    <x v="0"/>
    <n v="199.64"/>
    <n v="4.7619047620000003"/>
    <n v="9.9819999999999993"/>
    <n v="6.7"/>
  </r>
  <r>
    <s v="437-53-3084"/>
    <x v="0"/>
    <x v="1"/>
    <x v="1"/>
    <x v="0"/>
    <x v="1"/>
    <n v="99.89"/>
    <n v="2"/>
    <n v="9.9890000000000008"/>
    <x v="429"/>
    <x v="55"/>
    <x v="316"/>
    <x v="0"/>
    <n v="199.78"/>
    <n v="4.7619047620000003"/>
    <n v="9.9890000000000008"/>
    <n v="7.1"/>
  </r>
  <r>
    <s v="777-92-7608"/>
    <x v="2"/>
    <x v="1"/>
    <x v="1"/>
    <x v="0"/>
    <x v="1"/>
    <n v="99.89"/>
    <n v="2"/>
    <n v="9.9890000000000008"/>
    <x v="429"/>
    <x v="55"/>
    <x v="316"/>
    <x v="0"/>
    <n v="199.78"/>
    <n v="4.7619047620000003"/>
    <n v="9.9890000000000008"/>
    <n v="7.1"/>
  </r>
  <r>
    <s v="112-86-2436"/>
    <x v="0"/>
    <x v="1"/>
    <x v="1"/>
    <x v="0"/>
    <x v="1"/>
    <n v="99.89"/>
    <n v="2"/>
    <n v="9.9890000000000008"/>
    <x v="429"/>
    <x v="55"/>
    <x v="316"/>
    <x v="0"/>
    <n v="199.78"/>
    <n v="4.7619047620000003"/>
    <n v="9.9890000000000008"/>
    <n v="7.1"/>
  </r>
  <r>
    <s v="257-60-7754"/>
    <x v="1"/>
    <x v="1"/>
    <x v="1"/>
    <x v="1"/>
    <x v="5"/>
    <n v="50.23"/>
    <n v="4"/>
    <n v="10.045999999999999"/>
    <x v="430"/>
    <x v="3"/>
    <x v="317"/>
    <x v="0"/>
    <n v="200.92"/>
    <n v="4.7619047620000003"/>
    <n v="10.045999999999999"/>
    <n v="9"/>
  </r>
  <r>
    <s v="627-52-6055"/>
    <x v="1"/>
    <x v="2"/>
    <x v="1"/>
    <x v="0"/>
    <x v="5"/>
    <n v="50.23"/>
    <n v="4"/>
    <n v="10.045999999999999"/>
    <x v="430"/>
    <x v="3"/>
    <x v="317"/>
    <x v="0"/>
    <n v="200.92"/>
    <n v="4.7619047620000003"/>
    <n v="10.045999999999999"/>
    <n v="9"/>
  </r>
  <r>
    <s v="550-80-8496"/>
    <x v="1"/>
    <x v="0"/>
    <x v="1"/>
    <x v="0"/>
    <x v="5"/>
    <n v="50.23"/>
    <n v="4"/>
    <n v="10.045999999999999"/>
    <x v="430"/>
    <x v="3"/>
    <x v="317"/>
    <x v="0"/>
    <n v="200.92"/>
    <n v="4.7619047620000003"/>
    <n v="10.045999999999999"/>
    <n v="8.4"/>
  </r>
  <r>
    <s v="305-03-2383"/>
    <x v="0"/>
    <x v="2"/>
    <x v="1"/>
    <x v="1"/>
    <x v="2"/>
    <n v="67.099999999999994"/>
    <n v="3"/>
    <n v="10.065"/>
    <x v="431"/>
    <x v="74"/>
    <x v="31"/>
    <x v="0"/>
    <n v="201.3"/>
    <n v="4.7619047620000003"/>
    <n v="10.065"/>
    <n v="7.5"/>
  </r>
  <r>
    <s v="838-69-5169"/>
    <x v="1"/>
    <x v="2"/>
    <x v="1"/>
    <x v="1"/>
    <x v="2"/>
    <n v="67.099999999999994"/>
    <n v="3"/>
    <n v="10.065"/>
    <x v="431"/>
    <x v="74"/>
    <x v="31"/>
    <x v="0"/>
    <n v="201.3"/>
    <n v="4.7619047620000003"/>
    <n v="10.065"/>
    <n v="7.5"/>
  </r>
  <r>
    <s v="657-70-5401"/>
    <x v="1"/>
    <x v="2"/>
    <x v="1"/>
    <x v="1"/>
    <x v="2"/>
    <n v="67.099999999999994"/>
    <n v="3"/>
    <n v="10.065"/>
    <x v="431"/>
    <x v="74"/>
    <x v="31"/>
    <x v="0"/>
    <n v="201.3"/>
    <n v="4.7619047620000003"/>
    <n v="10.065"/>
    <n v="7.5"/>
  </r>
  <r>
    <s v="608-04-3797"/>
    <x v="0"/>
    <x v="1"/>
    <x v="0"/>
    <x v="1"/>
    <x v="4"/>
    <n v="25.32"/>
    <n v="8"/>
    <n v="10.128"/>
    <x v="432"/>
    <x v="53"/>
    <x v="318"/>
    <x v="0"/>
    <n v="202.56"/>
    <n v="4.7619047620000003"/>
    <n v="10.128"/>
    <n v="8.6999999999999993"/>
  </r>
  <r>
    <s v="638-64-8910"/>
    <x v="0"/>
    <x v="1"/>
    <x v="0"/>
    <x v="1"/>
    <x v="4"/>
    <n v="25.32"/>
    <n v="8"/>
    <n v="10.128"/>
    <x v="432"/>
    <x v="53"/>
    <x v="318"/>
    <x v="0"/>
    <n v="202.56"/>
    <n v="4.7619047620000003"/>
    <n v="10.128"/>
    <n v="8.5"/>
  </r>
  <r>
    <s v="639-76-1242"/>
    <x v="0"/>
    <x v="0"/>
    <x v="1"/>
    <x v="0"/>
    <x v="2"/>
    <n v="40.520000000000003"/>
    <n v="5"/>
    <n v="10.130000000000001"/>
    <x v="433"/>
    <x v="52"/>
    <x v="319"/>
    <x v="0"/>
    <n v="202.6"/>
    <n v="4.7619047620000003"/>
    <n v="10.130000000000001"/>
    <n v="4.5"/>
  </r>
  <r>
    <s v="918-78-2436"/>
    <x v="0"/>
    <x v="1"/>
    <x v="1"/>
    <x v="0"/>
    <x v="2"/>
    <n v="40.520000000000003"/>
    <n v="5"/>
    <n v="10.130000000000001"/>
    <x v="433"/>
    <x v="52"/>
    <x v="319"/>
    <x v="0"/>
    <n v="202.6"/>
    <n v="4.7619047620000003"/>
    <n v="10.130000000000001"/>
    <n v="4.5"/>
  </r>
  <r>
    <s v="277-92-4487"/>
    <x v="0"/>
    <x v="0"/>
    <x v="1"/>
    <x v="0"/>
    <x v="2"/>
    <n v="40.520000000000003"/>
    <n v="5"/>
    <n v="10.130000000000001"/>
    <x v="433"/>
    <x v="52"/>
    <x v="319"/>
    <x v="0"/>
    <n v="202.6"/>
    <n v="4.7619047620000003"/>
    <n v="10.130000000000001"/>
    <n v="8.6"/>
  </r>
  <r>
    <s v="610-46-4100"/>
    <x v="0"/>
    <x v="2"/>
    <x v="1"/>
    <x v="0"/>
    <x v="4"/>
    <n v="28.95"/>
    <n v="7"/>
    <n v="10.1325"/>
    <x v="434"/>
    <x v="18"/>
    <x v="281"/>
    <x v="0"/>
    <n v="202.65"/>
    <n v="4.7619047620000003"/>
    <n v="10.1325"/>
    <n v="6"/>
  </r>
  <r>
    <s v="336-80-6322"/>
    <x v="0"/>
    <x v="2"/>
    <x v="1"/>
    <x v="0"/>
    <x v="4"/>
    <n v="28.95"/>
    <n v="7"/>
    <n v="10.1325"/>
    <x v="434"/>
    <x v="18"/>
    <x v="281"/>
    <x v="0"/>
    <n v="202.65"/>
    <n v="4.7619047620000003"/>
    <n v="10.1325"/>
    <n v="8.6999999999999993"/>
  </r>
  <r>
    <s v="301-81-8610"/>
    <x v="0"/>
    <x v="1"/>
    <x v="0"/>
    <x v="0"/>
    <x v="1"/>
    <n v="25.42"/>
    <n v="8"/>
    <n v="10.167999999999999"/>
    <x v="435"/>
    <x v="7"/>
    <x v="159"/>
    <x v="0"/>
    <n v="203.36"/>
    <n v="4.7619047620000003"/>
    <n v="10.167999999999999"/>
    <n v="6.7"/>
  </r>
  <r>
    <s v="927-32-5371"/>
    <x v="2"/>
    <x v="1"/>
    <x v="0"/>
    <x v="0"/>
    <x v="2"/>
    <n v="25.42"/>
    <n v="8"/>
    <n v="10.167999999999999"/>
    <x v="435"/>
    <x v="7"/>
    <x v="159"/>
    <x v="2"/>
    <n v="203.36"/>
    <n v="4.7619047620000003"/>
    <n v="10.167999999999999"/>
    <n v="6.7"/>
  </r>
  <r>
    <s v="735-23-5394"/>
    <x v="1"/>
    <x v="1"/>
    <x v="0"/>
    <x v="0"/>
    <x v="1"/>
    <n v="25.42"/>
    <n v="8"/>
    <n v="10.167999999999999"/>
    <x v="435"/>
    <x v="7"/>
    <x v="159"/>
    <x v="0"/>
    <n v="203.36"/>
    <n v="4.7619047620000003"/>
    <n v="10.167999999999999"/>
    <n v="6.7"/>
  </r>
  <r>
    <s v="345-08-4992"/>
    <x v="0"/>
    <x v="2"/>
    <x v="1"/>
    <x v="0"/>
    <x v="3"/>
    <n v="33.99"/>
    <n v="6"/>
    <n v="10.196999999999999"/>
    <x v="436"/>
    <x v="66"/>
    <x v="320"/>
    <x v="0"/>
    <n v="203.94"/>
    <n v="4.7619047620000003"/>
    <n v="10.196999999999999"/>
    <n v="7.7"/>
  </r>
  <r>
    <s v="364-55-5431"/>
    <x v="0"/>
    <x v="2"/>
    <x v="1"/>
    <x v="0"/>
    <x v="2"/>
    <n v="33.99"/>
    <n v="6"/>
    <n v="10.196999999999999"/>
    <x v="436"/>
    <x v="66"/>
    <x v="320"/>
    <x v="0"/>
    <n v="203.94"/>
    <n v="4.7619047620000003"/>
    <n v="10.196999999999999"/>
    <n v="7.7"/>
  </r>
  <r>
    <s v="730-61-8757"/>
    <x v="2"/>
    <x v="1"/>
    <x v="1"/>
    <x v="0"/>
    <x v="4"/>
    <n v="51.13"/>
    <n v="4"/>
    <n v="10.226000000000001"/>
    <x v="437"/>
    <x v="6"/>
    <x v="43"/>
    <x v="2"/>
    <n v="204.52"/>
    <n v="4.7619047620000003"/>
    <n v="10.226000000000001"/>
    <n v="4"/>
  </r>
  <r>
    <s v="662-72-2873"/>
    <x v="0"/>
    <x v="1"/>
    <x v="1"/>
    <x v="1"/>
    <x v="2"/>
    <n v="40.94"/>
    <n v="5"/>
    <n v="10.234999999999999"/>
    <x v="438"/>
    <x v="5"/>
    <x v="150"/>
    <x v="1"/>
    <n v="204.7"/>
    <n v="4.7619047620000003"/>
    <n v="10.234999999999999"/>
    <n v="9.9"/>
  </r>
  <r>
    <s v="817-48-9342"/>
    <x v="1"/>
    <x v="2"/>
    <x v="1"/>
    <x v="1"/>
    <x v="2"/>
    <n v="40.94"/>
    <n v="5"/>
    <n v="10.234999999999999"/>
    <x v="438"/>
    <x v="5"/>
    <x v="150"/>
    <x v="1"/>
    <n v="204.7"/>
    <n v="4.7619047620000003"/>
    <n v="10.234999999999999"/>
    <n v="9.9"/>
  </r>
  <r>
    <s v="121-31-8221"/>
    <x v="0"/>
    <x v="0"/>
    <x v="1"/>
    <x v="1"/>
    <x v="2"/>
    <n v="40.94"/>
    <n v="5"/>
    <n v="10.234999999999999"/>
    <x v="438"/>
    <x v="5"/>
    <x v="150"/>
    <x v="1"/>
    <n v="204.7"/>
    <n v="4.7619047620000003"/>
    <n v="10.234999999999999"/>
    <n v="8.8000000000000007"/>
  </r>
  <r>
    <s v="408-75-9138"/>
    <x v="1"/>
    <x v="2"/>
    <x v="1"/>
    <x v="0"/>
    <x v="5"/>
    <n v="51.19"/>
    <n v="4"/>
    <n v="10.238"/>
    <x v="439"/>
    <x v="50"/>
    <x v="114"/>
    <x v="0"/>
    <n v="204.76"/>
    <n v="4.7619047620000003"/>
    <n v="10.238"/>
    <n v="4.7"/>
  </r>
  <r>
    <s v="439-54-7422"/>
    <x v="1"/>
    <x v="1"/>
    <x v="1"/>
    <x v="1"/>
    <x v="5"/>
    <n v="51.19"/>
    <n v="4"/>
    <n v="10.238"/>
    <x v="439"/>
    <x v="50"/>
    <x v="114"/>
    <x v="0"/>
    <n v="204.76"/>
    <n v="4.7619047620000003"/>
    <n v="10.238"/>
    <n v="4.7"/>
  </r>
  <r>
    <s v="156-24-6633"/>
    <x v="0"/>
    <x v="2"/>
    <x v="1"/>
    <x v="0"/>
    <x v="5"/>
    <n v="51.19"/>
    <n v="4"/>
    <n v="10.238"/>
    <x v="439"/>
    <x v="50"/>
    <x v="114"/>
    <x v="0"/>
    <n v="204.76"/>
    <n v="4.7619047620000003"/>
    <n v="10.238"/>
    <n v="4.7"/>
  </r>
  <r>
    <s v="764-46-7586"/>
    <x v="0"/>
    <x v="1"/>
    <x v="1"/>
    <x v="1"/>
    <x v="5"/>
    <n v="51.19"/>
    <n v="4"/>
    <n v="10.238"/>
    <x v="439"/>
    <x v="50"/>
    <x v="114"/>
    <x v="0"/>
    <n v="204.76"/>
    <n v="4.7619047620000003"/>
    <n v="10.238"/>
    <n v="4.7"/>
  </r>
  <r>
    <s v="276-75-6884"/>
    <x v="1"/>
    <x v="1"/>
    <x v="1"/>
    <x v="1"/>
    <x v="4"/>
    <n v="68.709999999999994"/>
    <n v="3"/>
    <n v="10.3065"/>
    <x v="440"/>
    <x v="26"/>
    <x v="321"/>
    <x v="0"/>
    <n v="206.13"/>
    <n v="4.7619047620000003"/>
    <n v="10.3065"/>
    <n v="8.6999999999999993"/>
  </r>
  <r>
    <s v="478-64-7711"/>
    <x v="1"/>
    <x v="1"/>
    <x v="1"/>
    <x v="1"/>
    <x v="2"/>
    <n v="68.709999999999994"/>
    <n v="3"/>
    <n v="10.3065"/>
    <x v="440"/>
    <x v="26"/>
    <x v="321"/>
    <x v="1"/>
    <n v="206.13"/>
    <n v="4.7619047620000003"/>
    <n v="10.3065"/>
    <n v="8.6999999999999993"/>
  </r>
  <r>
    <s v="649-11-3678"/>
    <x v="0"/>
    <x v="1"/>
    <x v="1"/>
    <x v="1"/>
    <x v="2"/>
    <n v="22.93"/>
    <n v="9"/>
    <n v="10.3185"/>
    <x v="441"/>
    <x v="55"/>
    <x v="199"/>
    <x v="0"/>
    <n v="206.37"/>
    <n v="4.7619047620000003"/>
    <n v="10.3185"/>
    <n v="5.5"/>
  </r>
  <r>
    <s v="892-28-3824"/>
    <x v="0"/>
    <x v="1"/>
    <x v="1"/>
    <x v="1"/>
    <x v="2"/>
    <n v="22.93"/>
    <n v="9"/>
    <n v="10.3185"/>
    <x v="441"/>
    <x v="55"/>
    <x v="199"/>
    <x v="0"/>
    <n v="206.37"/>
    <n v="4.7619047620000003"/>
    <n v="10.3185"/>
    <n v="5.5"/>
  </r>
  <r>
    <s v="940-41-6322"/>
    <x v="0"/>
    <x v="0"/>
    <x v="1"/>
    <x v="1"/>
    <x v="2"/>
    <n v="22.93"/>
    <n v="9"/>
    <n v="10.3185"/>
    <x v="441"/>
    <x v="55"/>
    <x v="199"/>
    <x v="0"/>
    <n v="206.37"/>
    <n v="4.7619047620000003"/>
    <n v="10.3185"/>
    <n v="8.9"/>
  </r>
  <r>
    <s v="291-55-6563"/>
    <x v="1"/>
    <x v="1"/>
    <x v="0"/>
    <x v="1"/>
    <x v="3"/>
    <n v="34.42"/>
    <n v="6"/>
    <n v="10.326000000000001"/>
    <x v="442"/>
    <x v="80"/>
    <x v="206"/>
    <x v="0"/>
    <n v="206.52"/>
    <n v="4.7619047620000003"/>
    <n v="10.326000000000001"/>
    <n v="7.5"/>
  </r>
  <r>
    <s v="354-39-5160"/>
    <x v="1"/>
    <x v="2"/>
    <x v="0"/>
    <x v="0"/>
    <x v="3"/>
    <n v="34.42"/>
    <n v="6"/>
    <n v="10.326000000000001"/>
    <x v="442"/>
    <x v="24"/>
    <x v="322"/>
    <x v="0"/>
    <n v="206.52"/>
    <n v="4.7619047620000003"/>
    <n v="10.326000000000001"/>
    <n v="9.8000000000000007"/>
  </r>
  <r>
    <s v="629-69-2818"/>
    <x v="1"/>
    <x v="1"/>
    <x v="0"/>
    <x v="1"/>
    <x v="3"/>
    <n v="34.42"/>
    <n v="6"/>
    <n v="10.326000000000001"/>
    <x v="442"/>
    <x v="80"/>
    <x v="206"/>
    <x v="0"/>
    <n v="206.52"/>
    <n v="4.7619047620000003"/>
    <n v="10.326000000000001"/>
    <n v="7.5"/>
  </r>
  <r>
    <s v="655-98-2113"/>
    <x v="1"/>
    <x v="2"/>
    <x v="0"/>
    <x v="0"/>
    <x v="2"/>
    <n v="34.42"/>
    <n v="6"/>
    <n v="10.326000000000001"/>
    <x v="442"/>
    <x v="24"/>
    <x v="322"/>
    <x v="0"/>
    <n v="206.52"/>
    <n v="4.7619047620000003"/>
    <n v="10.326000000000001"/>
    <n v="9.8000000000000007"/>
  </r>
  <r>
    <s v="127-47-6963"/>
    <x v="0"/>
    <x v="2"/>
    <x v="1"/>
    <x v="0"/>
    <x v="4"/>
    <n v="51.71"/>
    <n v="4"/>
    <n v="10.342000000000001"/>
    <x v="443"/>
    <x v="8"/>
    <x v="90"/>
    <x v="0"/>
    <n v="206.84"/>
    <n v="4.7619047620000003"/>
    <n v="10.342000000000001"/>
    <n v="9.8000000000000007"/>
  </r>
  <r>
    <s v="777-67-2495"/>
    <x v="2"/>
    <x v="1"/>
    <x v="1"/>
    <x v="0"/>
    <x v="3"/>
    <n v="68.97"/>
    <n v="3"/>
    <n v="10.345499999999999"/>
    <x v="444"/>
    <x v="21"/>
    <x v="48"/>
    <x v="0"/>
    <n v="206.91"/>
    <n v="4.7619047620000003"/>
    <n v="10.345499999999999"/>
    <n v="8.6999999999999993"/>
  </r>
  <r>
    <s v="749-24-1565"/>
    <x v="1"/>
    <x v="2"/>
    <x v="1"/>
    <x v="0"/>
    <x v="4"/>
    <n v="23.03"/>
    <n v="9"/>
    <n v="10.3635"/>
    <x v="445"/>
    <x v="43"/>
    <x v="293"/>
    <x v="1"/>
    <n v="207.27"/>
    <n v="4.7619047620000003"/>
    <n v="10.3635"/>
    <n v="7.9"/>
  </r>
  <r>
    <s v="891-58-8335"/>
    <x v="2"/>
    <x v="1"/>
    <x v="0"/>
    <x v="0"/>
    <x v="2"/>
    <n v="29.61"/>
    <n v="7"/>
    <n v="10.3635"/>
    <x v="445"/>
    <x v="79"/>
    <x v="85"/>
    <x v="0"/>
    <n v="207.27"/>
    <n v="4.7619047620000003"/>
    <n v="10.3635"/>
    <n v="6.5"/>
  </r>
  <r>
    <s v="551-21-3069"/>
    <x v="0"/>
    <x v="0"/>
    <x v="1"/>
    <x v="0"/>
    <x v="5"/>
    <n v="23.07"/>
    <n v="9"/>
    <n v="10.381500000000001"/>
    <x v="446"/>
    <x v="71"/>
    <x v="323"/>
    <x v="0"/>
    <n v="207.63"/>
    <n v="4.7619047620000003"/>
    <n v="10.381500000000001"/>
    <n v="4.9000000000000004"/>
  </r>
  <r>
    <s v="735-33-1257"/>
    <x v="0"/>
    <x v="0"/>
    <x v="1"/>
    <x v="0"/>
    <x v="5"/>
    <n v="23.07"/>
    <n v="9"/>
    <n v="10.381500000000001"/>
    <x v="446"/>
    <x v="71"/>
    <x v="323"/>
    <x v="0"/>
    <n v="207.63"/>
    <n v="4.7619047620000003"/>
    <n v="10.381500000000001"/>
    <n v="4.9000000000000004"/>
  </r>
  <r>
    <s v="704-20-4138"/>
    <x v="0"/>
    <x v="1"/>
    <x v="1"/>
    <x v="1"/>
    <x v="4"/>
    <n v="29.67"/>
    <n v="7"/>
    <n v="10.384499999999999"/>
    <x v="447"/>
    <x v="79"/>
    <x v="17"/>
    <x v="2"/>
    <n v="207.69"/>
    <n v="4.7619047620000003"/>
    <n v="10.384499999999999"/>
    <n v="8.1"/>
  </r>
  <r>
    <s v="457-12-0244"/>
    <x v="0"/>
    <x v="1"/>
    <x v="0"/>
    <x v="1"/>
    <x v="0"/>
    <n v="35.22"/>
    <n v="6"/>
    <n v="10.566000000000001"/>
    <x v="448"/>
    <x v="45"/>
    <x v="324"/>
    <x v="0"/>
    <n v="211.32"/>
    <n v="4.7619047620000003"/>
    <n v="10.566000000000001"/>
    <n v="6.5"/>
  </r>
  <r>
    <s v="556-63-4269"/>
    <x v="0"/>
    <x v="0"/>
    <x v="0"/>
    <x v="0"/>
    <x v="0"/>
    <n v="35.22"/>
    <n v="6"/>
    <n v="10.566000000000001"/>
    <x v="448"/>
    <x v="45"/>
    <x v="324"/>
    <x v="1"/>
    <n v="211.32"/>
    <n v="4.7619047620000003"/>
    <n v="10.566000000000001"/>
    <n v="6.5"/>
  </r>
  <r>
    <s v="365-16-4334"/>
    <x v="2"/>
    <x v="1"/>
    <x v="1"/>
    <x v="1"/>
    <x v="2"/>
    <n v="26.43"/>
    <n v="8"/>
    <n v="10.571999999999999"/>
    <x v="449"/>
    <x v="49"/>
    <x v="325"/>
    <x v="0"/>
    <n v="211.44"/>
    <n v="4.7619047620000003"/>
    <n v="10.571999999999999"/>
    <n v="8.9"/>
  </r>
  <r>
    <s v="823-72-9625"/>
    <x v="2"/>
    <x v="1"/>
    <x v="1"/>
    <x v="0"/>
    <x v="2"/>
    <n v="26.43"/>
    <n v="8"/>
    <n v="10.571999999999999"/>
    <x v="449"/>
    <x v="49"/>
    <x v="325"/>
    <x v="1"/>
    <n v="211.44"/>
    <n v="4.7619047620000003"/>
    <n v="10.571999999999999"/>
    <n v="8.9"/>
  </r>
  <r>
    <s v="222-57-1006"/>
    <x v="0"/>
    <x v="1"/>
    <x v="1"/>
    <x v="1"/>
    <x v="2"/>
    <n v="26.43"/>
    <n v="8"/>
    <n v="10.571999999999999"/>
    <x v="449"/>
    <x v="49"/>
    <x v="325"/>
    <x v="0"/>
    <n v="211.44"/>
    <n v="4.7619047620000003"/>
    <n v="10.571999999999999"/>
    <n v="8.9"/>
  </r>
  <r>
    <s v="366-43-6862"/>
    <x v="2"/>
    <x v="1"/>
    <x v="1"/>
    <x v="0"/>
    <x v="5"/>
    <n v="52.89"/>
    <n v="4"/>
    <n v="10.577999999999999"/>
    <x v="450"/>
    <x v="48"/>
    <x v="326"/>
    <x v="0"/>
    <n v="211.56"/>
    <n v="4.7619047620000003"/>
    <n v="10.577999999999999"/>
    <n v="6.7"/>
  </r>
  <r>
    <s v="982-63-2828"/>
    <x v="1"/>
    <x v="1"/>
    <x v="1"/>
    <x v="0"/>
    <x v="2"/>
    <n v="52.89"/>
    <n v="4"/>
    <n v="10.577999999999999"/>
    <x v="450"/>
    <x v="48"/>
    <x v="326"/>
    <x v="1"/>
    <n v="211.56"/>
    <n v="4.7619047620000003"/>
    <n v="10.577999999999999"/>
    <n v="6.7"/>
  </r>
  <r>
    <s v="333-71-7228"/>
    <x v="0"/>
    <x v="1"/>
    <x v="1"/>
    <x v="0"/>
    <x v="2"/>
    <n v="52.89"/>
    <n v="4"/>
    <n v="10.577999999999999"/>
    <x v="450"/>
    <x v="48"/>
    <x v="326"/>
    <x v="0"/>
    <n v="211.56"/>
    <n v="4.7619047620000003"/>
    <n v="10.577999999999999"/>
    <n v="6.7"/>
  </r>
  <r>
    <s v="716-39-1409"/>
    <x v="2"/>
    <x v="1"/>
    <x v="1"/>
    <x v="0"/>
    <x v="4"/>
    <n v="30.35"/>
    <n v="7"/>
    <n v="10.6225"/>
    <x v="451"/>
    <x v="7"/>
    <x v="1"/>
    <x v="0"/>
    <n v="212.45"/>
    <n v="4.7619047620000003"/>
    <n v="10.6225"/>
    <n v="8"/>
  </r>
  <r>
    <s v="219-23-1894"/>
    <x v="0"/>
    <x v="0"/>
    <x v="1"/>
    <x v="0"/>
    <x v="5"/>
    <n v="35.49"/>
    <n v="6"/>
    <n v="10.647"/>
    <x v="452"/>
    <x v="11"/>
    <x v="38"/>
    <x v="0"/>
    <n v="212.94"/>
    <n v="4.7619047620000003"/>
    <n v="10.647"/>
    <n v="4.0999999999999996"/>
  </r>
  <r>
    <s v="717-96-4189"/>
    <x v="0"/>
    <x v="1"/>
    <x v="1"/>
    <x v="1"/>
    <x v="5"/>
    <n v="35.49"/>
    <n v="6"/>
    <n v="10.647"/>
    <x v="452"/>
    <x v="11"/>
    <x v="38"/>
    <x v="0"/>
    <n v="212.94"/>
    <n v="4.7619047620000003"/>
    <n v="10.647"/>
    <n v="4.0999999999999996"/>
  </r>
  <r>
    <s v="226-71-3580"/>
    <x v="0"/>
    <x v="1"/>
    <x v="1"/>
    <x v="1"/>
    <x v="0"/>
    <n v="23.75"/>
    <n v="9"/>
    <n v="10.6875"/>
    <x v="453"/>
    <x v="63"/>
    <x v="293"/>
    <x v="0"/>
    <n v="213.75"/>
    <n v="4.7619047620000003"/>
    <n v="10.6875"/>
    <n v="9.5"/>
  </r>
  <r>
    <s v="544-55-9589"/>
    <x v="2"/>
    <x v="1"/>
    <x v="0"/>
    <x v="1"/>
    <x v="5"/>
    <n v="21.43"/>
    <n v="10"/>
    <n v="10.715"/>
    <x v="454"/>
    <x v="12"/>
    <x v="327"/>
    <x v="0"/>
    <n v="214.3"/>
    <n v="4.7619047620000003"/>
    <n v="10.715"/>
    <n v="6.2"/>
  </r>
  <r>
    <s v="791-44-9922"/>
    <x v="2"/>
    <x v="1"/>
    <x v="0"/>
    <x v="0"/>
    <x v="5"/>
    <n v="21.43"/>
    <n v="10"/>
    <n v="10.715"/>
    <x v="454"/>
    <x v="12"/>
    <x v="327"/>
    <x v="0"/>
    <n v="214.3"/>
    <n v="4.7619047620000003"/>
    <n v="10.715"/>
    <n v="6.2"/>
  </r>
  <r>
    <s v="209-61-0206"/>
    <x v="0"/>
    <x v="2"/>
    <x v="1"/>
    <x v="1"/>
    <x v="3"/>
    <n v="42.91"/>
    <n v="5"/>
    <n v="10.727499999999999"/>
    <x v="455"/>
    <x v="32"/>
    <x v="314"/>
    <x v="0"/>
    <n v="214.55"/>
    <n v="4.7619047620000003"/>
    <n v="10.727499999999999"/>
    <n v="6.1"/>
  </r>
  <r>
    <s v="420-97-3340"/>
    <x v="0"/>
    <x v="2"/>
    <x v="1"/>
    <x v="1"/>
    <x v="2"/>
    <n v="71.680000000000007"/>
    <n v="3"/>
    <n v="10.752000000000001"/>
    <x v="456"/>
    <x v="70"/>
    <x v="138"/>
    <x v="0"/>
    <n v="215.04"/>
    <n v="4.7619047620000003"/>
    <n v="10.752000000000001"/>
    <n v="9.1999999999999993"/>
  </r>
  <r>
    <s v="923-14-4386"/>
    <x v="1"/>
    <x v="1"/>
    <x v="1"/>
    <x v="1"/>
    <x v="2"/>
    <n v="71.680000000000007"/>
    <n v="3"/>
    <n v="10.752000000000001"/>
    <x v="456"/>
    <x v="70"/>
    <x v="138"/>
    <x v="2"/>
    <n v="215.04"/>
    <n v="4.7619047620000003"/>
    <n v="10.752000000000001"/>
    <n v="9.1999999999999993"/>
  </r>
  <r>
    <s v="322-52-9931"/>
    <x v="0"/>
    <x v="2"/>
    <x v="1"/>
    <x v="0"/>
    <x v="2"/>
    <n v="71.680000000000007"/>
    <n v="3"/>
    <n v="10.752000000000001"/>
    <x v="456"/>
    <x v="70"/>
    <x v="138"/>
    <x v="0"/>
    <n v="215.04"/>
    <n v="4.7619047620000003"/>
    <n v="10.752000000000001"/>
    <n v="9.1999999999999993"/>
  </r>
  <r>
    <s v="524-51-7594"/>
    <x v="1"/>
    <x v="2"/>
    <x v="1"/>
    <x v="0"/>
    <x v="0"/>
    <n v="43.06"/>
    <n v="5"/>
    <n v="10.765000000000001"/>
    <x v="457"/>
    <x v="4"/>
    <x v="328"/>
    <x v="1"/>
    <n v="215.3"/>
    <n v="4.7619047620000003"/>
    <n v="10.765000000000001"/>
    <n v="7.7"/>
  </r>
  <r>
    <s v="695-28-6250"/>
    <x v="0"/>
    <x v="2"/>
    <x v="1"/>
    <x v="1"/>
    <x v="0"/>
    <n v="43.06"/>
    <n v="5"/>
    <n v="10.765000000000001"/>
    <x v="457"/>
    <x v="4"/>
    <x v="328"/>
    <x v="0"/>
    <n v="215.3"/>
    <n v="4.7619047620000003"/>
    <n v="10.765000000000001"/>
    <n v="7.7"/>
  </r>
  <r>
    <s v="218-59-9410"/>
    <x v="0"/>
    <x v="2"/>
    <x v="0"/>
    <x v="1"/>
    <x v="3"/>
    <n v="72.42"/>
    <n v="3"/>
    <n v="10.863"/>
    <x v="458"/>
    <x v="86"/>
    <x v="329"/>
    <x v="1"/>
    <n v="217.26"/>
    <n v="4.7619047620000003"/>
    <n v="10.863"/>
    <n v="8.1999999999999993"/>
  </r>
  <r>
    <s v="526-86-8552"/>
    <x v="0"/>
    <x v="1"/>
    <x v="0"/>
    <x v="0"/>
    <x v="3"/>
    <n v="21.82"/>
    <n v="10"/>
    <n v="10.91"/>
    <x v="459"/>
    <x v="65"/>
    <x v="186"/>
    <x v="0"/>
    <n v="218.2"/>
    <n v="4.7619047620000003"/>
    <n v="10.91"/>
    <n v="7.1"/>
  </r>
  <r>
    <s v="576-31-4774"/>
    <x v="2"/>
    <x v="1"/>
    <x v="1"/>
    <x v="1"/>
    <x v="4"/>
    <n v="73.41"/>
    <n v="3"/>
    <n v="11.0115"/>
    <x v="460"/>
    <x v="23"/>
    <x v="330"/>
    <x v="1"/>
    <n v="220.23"/>
    <n v="4.7619047620000003"/>
    <n v="11.0115"/>
    <n v="4"/>
  </r>
  <r>
    <s v="755-12-3214"/>
    <x v="0"/>
    <x v="0"/>
    <x v="0"/>
    <x v="0"/>
    <x v="1"/>
    <n v="44.22"/>
    <n v="5"/>
    <n v="11.055"/>
    <x v="461"/>
    <x v="53"/>
    <x v="331"/>
    <x v="2"/>
    <n v="221.1"/>
    <n v="4.7619047620000003"/>
    <n v="11.055"/>
    <n v="8.6"/>
  </r>
  <r>
    <s v="142-49-8309"/>
    <x v="1"/>
    <x v="2"/>
    <x v="1"/>
    <x v="0"/>
    <x v="2"/>
    <n v="55.39"/>
    <n v="4"/>
    <n v="11.077999999999999"/>
    <x v="462"/>
    <x v="48"/>
    <x v="319"/>
    <x v="1"/>
    <n v="221.56"/>
    <n v="4.7619047620000003"/>
    <n v="11.077999999999999"/>
    <n v="8"/>
  </r>
  <r>
    <s v="156-95-3964"/>
    <x v="1"/>
    <x v="1"/>
    <x v="1"/>
    <x v="1"/>
    <x v="2"/>
    <n v="55.39"/>
    <n v="4"/>
    <n v="11.077999999999999"/>
    <x v="462"/>
    <x v="48"/>
    <x v="319"/>
    <x v="1"/>
    <n v="221.56"/>
    <n v="4.7619047620000003"/>
    <n v="11.077999999999999"/>
    <n v="8"/>
  </r>
  <r>
    <s v="787-87-2010"/>
    <x v="1"/>
    <x v="1"/>
    <x v="0"/>
    <x v="0"/>
    <x v="4"/>
    <n v="55.5"/>
    <n v="4"/>
    <n v="11.1"/>
    <x v="463"/>
    <x v="84"/>
    <x v="239"/>
    <x v="2"/>
    <n v="222"/>
    <n v="4.7619047620000003"/>
    <n v="11.1"/>
    <n v="6.6"/>
  </r>
  <r>
    <s v="548-83-3165"/>
    <x v="2"/>
    <x v="1"/>
    <x v="1"/>
    <x v="0"/>
    <x v="0"/>
    <n v="37.020000000000003"/>
    <n v="6"/>
    <n v="11.106"/>
    <x v="464"/>
    <x v="10"/>
    <x v="288"/>
    <x v="0"/>
    <n v="222.12"/>
    <n v="4.7619047620000003"/>
    <n v="11.106"/>
    <n v="4.5"/>
  </r>
  <r>
    <s v="554-53-3790"/>
    <x v="0"/>
    <x v="1"/>
    <x v="1"/>
    <x v="0"/>
    <x v="0"/>
    <n v="37.020000000000003"/>
    <n v="6"/>
    <n v="11.106"/>
    <x v="464"/>
    <x v="10"/>
    <x v="288"/>
    <x v="0"/>
    <n v="222.12"/>
    <n v="4.7619047620000003"/>
    <n v="11.106"/>
    <n v="4.5"/>
  </r>
  <r>
    <s v="447-15-7839"/>
    <x v="1"/>
    <x v="1"/>
    <x v="0"/>
    <x v="0"/>
    <x v="0"/>
    <n v="22.24"/>
    <n v="10"/>
    <n v="11.12"/>
    <x v="465"/>
    <x v="14"/>
    <x v="171"/>
    <x v="0"/>
    <n v="222.4"/>
    <n v="4.7619047620000003"/>
    <n v="11.12"/>
    <n v="4.2"/>
  </r>
  <r>
    <s v="377-45-2075"/>
    <x v="0"/>
    <x v="1"/>
    <x v="1"/>
    <x v="0"/>
    <x v="0"/>
    <n v="22.24"/>
    <n v="10"/>
    <n v="11.12"/>
    <x v="465"/>
    <x v="14"/>
    <x v="171"/>
    <x v="0"/>
    <n v="222.4"/>
    <n v="4.7619047620000003"/>
    <n v="11.12"/>
    <n v="4.2"/>
  </r>
  <r>
    <s v="965-10-2773"/>
    <x v="0"/>
    <x v="1"/>
    <x v="1"/>
    <x v="0"/>
    <x v="2"/>
    <n v="22.24"/>
    <n v="10"/>
    <n v="11.12"/>
    <x v="465"/>
    <x v="14"/>
    <x v="171"/>
    <x v="0"/>
    <n v="222.4"/>
    <n v="4.7619047620000003"/>
    <n v="11.12"/>
    <n v="4.2"/>
  </r>
  <r>
    <s v="162-48-8011"/>
    <x v="1"/>
    <x v="2"/>
    <x v="0"/>
    <x v="0"/>
    <x v="2"/>
    <n v="44.59"/>
    <n v="5"/>
    <n v="11.147500000000001"/>
    <x v="466"/>
    <x v="64"/>
    <x v="35"/>
    <x v="0"/>
    <n v="222.95"/>
    <n v="4.7619047620000003"/>
    <n v="11.147500000000001"/>
    <n v="8.5"/>
  </r>
  <r>
    <s v="444-11-2387"/>
    <x v="1"/>
    <x v="2"/>
    <x v="0"/>
    <x v="1"/>
    <x v="2"/>
    <n v="44.59"/>
    <n v="5"/>
    <n v="11.147500000000001"/>
    <x v="466"/>
    <x v="64"/>
    <x v="35"/>
    <x v="0"/>
    <n v="222.95"/>
    <n v="4.7619047620000003"/>
    <n v="11.147500000000001"/>
    <n v="8.5"/>
  </r>
  <r>
    <s v="854-52-1428"/>
    <x v="0"/>
    <x v="2"/>
    <x v="1"/>
    <x v="1"/>
    <x v="2"/>
    <n v="44.59"/>
    <n v="5"/>
    <n v="11.147500000000001"/>
    <x v="466"/>
    <x v="64"/>
    <x v="35"/>
    <x v="0"/>
    <n v="222.95"/>
    <n v="4.7619047620000003"/>
    <n v="11.147500000000001"/>
    <n v="8.5"/>
  </r>
  <r>
    <s v="848-62-7243"/>
    <x v="1"/>
    <x v="2"/>
    <x v="1"/>
    <x v="0"/>
    <x v="2"/>
    <n v="24.89"/>
    <n v="9"/>
    <n v="11.2005"/>
    <x v="467"/>
    <x v="54"/>
    <x v="8"/>
    <x v="0"/>
    <n v="224.01"/>
    <n v="4.7619047620000003"/>
    <n v="11.2005"/>
    <n v="7.4"/>
  </r>
  <r>
    <s v="481-76-1074"/>
    <x v="1"/>
    <x v="2"/>
    <x v="1"/>
    <x v="0"/>
    <x v="2"/>
    <n v="24.94"/>
    <n v="9"/>
    <n v="11.223000000000001"/>
    <x v="468"/>
    <x v="68"/>
    <x v="332"/>
    <x v="2"/>
    <n v="224.46"/>
    <n v="4.7619047620000003"/>
    <n v="11.223000000000001"/>
    <n v="5.6"/>
  </r>
  <r>
    <s v="540-11-4336"/>
    <x v="1"/>
    <x v="2"/>
    <x v="1"/>
    <x v="0"/>
    <x v="2"/>
    <n v="24.94"/>
    <n v="9"/>
    <n v="11.223000000000001"/>
    <x v="468"/>
    <x v="68"/>
    <x v="332"/>
    <x v="2"/>
    <n v="224.46"/>
    <n v="4.7619047620000003"/>
    <n v="11.223000000000001"/>
    <n v="5.6"/>
  </r>
  <r>
    <s v="151-27-8496"/>
    <x v="0"/>
    <x v="1"/>
    <x v="1"/>
    <x v="1"/>
    <x v="5"/>
    <n v="56.13"/>
    <n v="4"/>
    <n v="11.226000000000001"/>
    <x v="469"/>
    <x v="35"/>
    <x v="221"/>
    <x v="0"/>
    <n v="224.52"/>
    <n v="4.7619047620000003"/>
    <n v="11.226000000000001"/>
    <n v="8.6"/>
  </r>
  <r>
    <s v="366-34-8962"/>
    <x v="0"/>
    <x v="0"/>
    <x v="1"/>
    <x v="0"/>
    <x v="5"/>
    <n v="56.13"/>
    <n v="4"/>
    <n v="11.226000000000001"/>
    <x v="469"/>
    <x v="35"/>
    <x v="221"/>
    <x v="0"/>
    <n v="224.52"/>
    <n v="4.7619047620000003"/>
    <n v="11.226000000000001"/>
    <n v="8.6"/>
  </r>
  <r>
    <s v="870-67-5749"/>
    <x v="0"/>
    <x v="0"/>
    <x v="1"/>
    <x v="0"/>
    <x v="2"/>
    <n v="56.13"/>
    <n v="4"/>
    <n v="11.226000000000001"/>
    <x v="469"/>
    <x v="35"/>
    <x v="221"/>
    <x v="0"/>
    <n v="224.52"/>
    <n v="4.7619047620000003"/>
    <n v="11.226000000000001"/>
    <n v="8.6"/>
  </r>
  <r>
    <s v="609-81-8548"/>
    <x v="0"/>
    <x v="2"/>
    <x v="0"/>
    <x v="1"/>
    <x v="3"/>
    <n v="37.44"/>
    <n v="6"/>
    <n v="11.231999999999999"/>
    <x v="470"/>
    <x v="51"/>
    <x v="333"/>
    <x v="0"/>
    <n v="224.64"/>
    <n v="4.7619047620000003"/>
    <n v="11.231999999999999"/>
    <n v="5.9"/>
  </r>
  <r>
    <s v="941-92-8139"/>
    <x v="0"/>
    <x v="2"/>
    <x v="0"/>
    <x v="1"/>
    <x v="3"/>
    <n v="37.44"/>
    <n v="6"/>
    <n v="11.231999999999999"/>
    <x v="470"/>
    <x v="51"/>
    <x v="333"/>
    <x v="0"/>
    <n v="224.64"/>
    <n v="4.7619047620000003"/>
    <n v="11.231999999999999"/>
    <n v="9"/>
  </r>
  <r>
    <s v="683-25-1089"/>
    <x v="1"/>
    <x v="2"/>
    <x v="0"/>
    <x v="0"/>
    <x v="0"/>
    <n v="75.2"/>
    <n v="3"/>
    <n v="11.28"/>
    <x v="471"/>
    <x v="28"/>
    <x v="327"/>
    <x v="1"/>
    <n v="225.6"/>
    <n v="4.7619047620000003"/>
    <n v="11.28"/>
    <n v="4.8"/>
  </r>
  <r>
    <s v="880-35-0356"/>
    <x v="0"/>
    <x v="1"/>
    <x v="0"/>
    <x v="1"/>
    <x v="2"/>
    <n v="75.2"/>
    <n v="3"/>
    <n v="11.28"/>
    <x v="471"/>
    <x v="28"/>
    <x v="327"/>
    <x v="0"/>
    <n v="225.6"/>
    <n v="4.7619047620000003"/>
    <n v="11.28"/>
    <n v="4.8"/>
  </r>
  <r>
    <s v="310-72-4586"/>
    <x v="1"/>
    <x v="2"/>
    <x v="0"/>
    <x v="0"/>
    <x v="0"/>
    <n v="75.2"/>
    <n v="3"/>
    <n v="11.28"/>
    <x v="471"/>
    <x v="28"/>
    <x v="327"/>
    <x v="1"/>
    <n v="225.6"/>
    <n v="4.7619047620000003"/>
    <n v="11.28"/>
    <n v="9.1"/>
  </r>
  <r>
    <s v="256-08-8343"/>
    <x v="0"/>
    <x v="2"/>
    <x v="1"/>
    <x v="1"/>
    <x v="3"/>
    <n v="56.53"/>
    <n v="4"/>
    <n v="11.305999999999999"/>
    <x v="472"/>
    <x v="26"/>
    <x v="105"/>
    <x v="1"/>
    <n v="226.12"/>
    <n v="4.7619047620000003"/>
    <n v="11.305999999999999"/>
    <n v="5.5"/>
  </r>
  <r>
    <s v="149-14-0304"/>
    <x v="0"/>
    <x v="1"/>
    <x v="0"/>
    <x v="1"/>
    <x v="4"/>
    <n v="28.5"/>
    <n v="8"/>
    <n v="11.4"/>
    <x v="473"/>
    <x v="51"/>
    <x v="334"/>
    <x v="0"/>
    <n v="228"/>
    <n v="4.7619047620000003"/>
    <n v="11.4"/>
    <n v="6.6"/>
  </r>
  <r>
    <s v="801-88-0346"/>
    <x v="0"/>
    <x v="1"/>
    <x v="1"/>
    <x v="1"/>
    <x v="1"/>
    <n v="76.06"/>
    <n v="3"/>
    <n v="11.409000000000001"/>
    <x v="474"/>
    <x v="32"/>
    <x v="335"/>
    <x v="2"/>
    <n v="228.18"/>
    <n v="4.7619047620000003"/>
    <n v="11.409000000000001"/>
    <n v="9.8000000000000007"/>
  </r>
  <r>
    <s v="562-44-6035"/>
    <x v="2"/>
    <x v="1"/>
    <x v="1"/>
    <x v="0"/>
    <x v="5"/>
    <n v="22.95"/>
    <n v="10"/>
    <n v="11.475"/>
    <x v="475"/>
    <x v="51"/>
    <x v="66"/>
    <x v="1"/>
    <n v="229.5"/>
    <n v="4.7619047620000003"/>
    <n v="11.475"/>
    <n v="8.1999999999999993"/>
  </r>
  <r>
    <s v="857-67-9057"/>
    <x v="0"/>
    <x v="1"/>
    <x v="1"/>
    <x v="0"/>
    <x v="2"/>
    <n v="22.95"/>
    <n v="10"/>
    <n v="11.475"/>
    <x v="475"/>
    <x v="51"/>
    <x v="66"/>
    <x v="1"/>
    <n v="229.5"/>
    <n v="4.7619047620000003"/>
    <n v="11.475"/>
    <n v="8.1999999999999993"/>
  </r>
  <r>
    <s v="239-78-2421"/>
    <x v="2"/>
    <x v="1"/>
    <x v="0"/>
    <x v="0"/>
    <x v="5"/>
    <n v="57.49"/>
    <n v="4"/>
    <n v="11.497999999999999"/>
    <x v="476"/>
    <x v="54"/>
    <x v="336"/>
    <x v="0"/>
    <n v="229.96"/>
    <n v="4.7619047620000003"/>
    <n v="11.497999999999999"/>
    <n v="6.6"/>
  </r>
  <r>
    <s v="542-41-0513"/>
    <x v="2"/>
    <x v="1"/>
    <x v="0"/>
    <x v="0"/>
    <x v="5"/>
    <n v="57.49"/>
    <n v="4"/>
    <n v="11.497999999999999"/>
    <x v="476"/>
    <x v="54"/>
    <x v="336"/>
    <x v="0"/>
    <n v="229.96"/>
    <n v="4.7619047620000003"/>
    <n v="11.497999999999999"/>
    <n v="6.6"/>
  </r>
  <r>
    <s v="284-34-9626"/>
    <x v="2"/>
    <x v="1"/>
    <x v="1"/>
    <x v="0"/>
    <x v="3"/>
    <n v="77.040000000000006"/>
    <n v="3"/>
    <n v="11.555999999999999"/>
    <x v="477"/>
    <x v="88"/>
    <x v="337"/>
    <x v="0"/>
    <n v="231.12"/>
    <n v="4.7619047620000003"/>
    <n v="11.555999999999999"/>
    <n v="7.2"/>
  </r>
  <r>
    <s v="794-83-1499"/>
    <x v="1"/>
    <x v="1"/>
    <x v="1"/>
    <x v="0"/>
    <x v="2"/>
    <n v="77.040000000000006"/>
    <n v="3"/>
    <n v="11.555999999999999"/>
    <x v="477"/>
    <x v="88"/>
    <x v="337"/>
    <x v="1"/>
    <n v="231.12"/>
    <n v="4.7619047620000003"/>
    <n v="11.555999999999999"/>
    <n v="7.2"/>
  </r>
  <r>
    <s v="809-46-1866"/>
    <x v="1"/>
    <x v="1"/>
    <x v="1"/>
    <x v="0"/>
    <x v="4"/>
    <n v="58.15"/>
    <n v="4"/>
    <n v="11.63"/>
    <x v="478"/>
    <x v="27"/>
    <x v="338"/>
    <x v="0"/>
    <n v="232.6"/>
    <n v="4.7619047620000003"/>
    <n v="11.63"/>
    <n v="8.4"/>
  </r>
  <r>
    <s v="180-63-5310"/>
    <x v="1"/>
    <x v="2"/>
    <x v="1"/>
    <x v="0"/>
    <x v="5"/>
    <n v="46.95"/>
    <n v="5"/>
    <n v="11.737500000000001"/>
    <x v="479"/>
    <x v="41"/>
    <x v="91"/>
    <x v="1"/>
    <n v="234.75"/>
    <n v="4.7619047620000003"/>
    <n v="11.737500000000001"/>
    <n v="7.1"/>
  </r>
  <r>
    <s v="365-64-0515"/>
    <x v="1"/>
    <x v="2"/>
    <x v="1"/>
    <x v="1"/>
    <x v="5"/>
    <n v="46.95"/>
    <n v="5"/>
    <n v="11.737500000000001"/>
    <x v="479"/>
    <x v="41"/>
    <x v="91"/>
    <x v="0"/>
    <n v="234.75"/>
    <n v="4.7619047620000003"/>
    <n v="11.737500000000001"/>
    <n v="7.1"/>
  </r>
  <r>
    <s v="406-98-3191"/>
    <x v="0"/>
    <x v="2"/>
    <x v="1"/>
    <x v="1"/>
    <x v="2"/>
    <n v="46.95"/>
    <n v="5"/>
    <n v="11.737500000000001"/>
    <x v="479"/>
    <x v="41"/>
    <x v="91"/>
    <x v="0"/>
    <n v="234.75"/>
    <n v="4.7619047620000003"/>
    <n v="11.737500000000001"/>
    <n v="7.1"/>
  </r>
  <r>
    <s v="499-83-7255"/>
    <x v="1"/>
    <x v="2"/>
    <x v="1"/>
    <x v="0"/>
    <x v="5"/>
    <n v="78.31"/>
    <n v="3"/>
    <n v="11.746499999999999"/>
    <x v="480"/>
    <x v="53"/>
    <x v="328"/>
    <x v="1"/>
    <n v="234.93"/>
    <n v="4.7619047620000003"/>
    <n v="11.746499999999999"/>
    <n v="5.4"/>
  </r>
  <r>
    <s v="655-07-2265"/>
    <x v="0"/>
    <x v="2"/>
    <x v="1"/>
    <x v="0"/>
    <x v="5"/>
    <n v="78.31"/>
    <n v="3"/>
    <n v="11.746499999999999"/>
    <x v="480"/>
    <x v="53"/>
    <x v="328"/>
    <x v="0"/>
    <n v="234.93"/>
    <n v="4.7619047620000003"/>
    <n v="11.746499999999999"/>
    <n v="5.4"/>
  </r>
  <r>
    <s v="982-12-7665"/>
    <x v="0"/>
    <x v="0"/>
    <x v="1"/>
    <x v="0"/>
    <x v="5"/>
    <n v="78.31"/>
    <n v="3"/>
    <n v="11.746499999999999"/>
    <x v="480"/>
    <x v="53"/>
    <x v="328"/>
    <x v="0"/>
    <n v="234.93"/>
    <n v="4.7619047620000003"/>
    <n v="11.746499999999999"/>
    <n v="9.1999999999999993"/>
  </r>
  <r>
    <s v="190-59-3964"/>
    <x v="2"/>
    <x v="1"/>
    <x v="0"/>
    <x v="0"/>
    <x v="2"/>
    <n v="47.16"/>
    <n v="5"/>
    <n v="11.79"/>
    <x v="481"/>
    <x v="52"/>
    <x v="74"/>
    <x v="0"/>
    <n v="235.8"/>
    <n v="4.7619047620000003"/>
    <n v="11.79"/>
    <n v="6"/>
  </r>
  <r>
    <s v="594-83-8967"/>
    <x v="2"/>
    <x v="1"/>
    <x v="0"/>
    <x v="0"/>
    <x v="2"/>
    <n v="47.16"/>
    <n v="5"/>
    <n v="11.79"/>
    <x v="481"/>
    <x v="52"/>
    <x v="74"/>
    <x v="2"/>
    <n v="235.8"/>
    <n v="4.7619047620000003"/>
    <n v="11.79"/>
    <n v="6"/>
  </r>
  <r>
    <s v="512-57-0877"/>
    <x v="1"/>
    <x v="2"/>
    <x v="1"/>
    <x v="0"/>
    <x v="5"/>
    <n v="26.23"/>
    <n v="9"/>
    <n v="11.8035"/>
    <x v="482"/>
    <x v="6"/>
    <x v="318"/>
    <x v="1"/>
    <n v="236.07"/>
    <n v="4.7619047620000003"/>
    <n v="11.8035"/>
    <n v="5.9"/>
  </r>
  <r>
    <s v="888-02-0338"/>
    <x v="1"/>
    <x v="1"/>
    <x v="1"/>
    <x v="0"/>
    <x v="2"/>
    <n v="26.23"/>
    <n v="9"/>
    <n v="11.8035"/>
    <x v="482"/>
    <x v="6"/>
    <x v="318"/>
    <x v="1"/>
    <n v="236.07"/>
    <n v="4.7619047620000003"/>
    <n v="11.8035"/>
    <n v="5.9"/>
  </r>
  <r>
    <s v="110-05-6330"/>
    <x v="0"/>
    <x v="0"/>
    <x v="1"/>
    <x v="1"/>
    <x v="2"/>
    <n v="39.43"/>
    <n v="6"/>
    <n v="11.829000000000001"/>
    <x v="483"/>
    <x v="48"/>
    <x v="339"/>
    <x v="2"/>
    <n v="236.58"/>
    <n v="4.7619047620000003"/>
    <n v="11.829000000000001"/>
    <n v="9.4"/>
  </r>
  <r>
    <s v="469-26-9087"/>
    <x v="0"/>
    <x v="0"/>
    <x v="1"/>
    <x v="1"/>
    <x v="2"/>
    <n v="39.43"/>
    <n v="6"/>
    <n v="11.829000000000001"/>
    <x v="483"/>
    <x v="48"/>
    <x v="339"/>
    <x v="2"/>
    <n v="236.58"/>
    <n v="4.7619047620000003"/>
    <n v="11.829000000000001"/>
    <n v="9.4"/>
  </r>
  <r>
    <s v="537-28-7391"/>
    <x v="0"/>
    <x v="0"/>
    <x v="0"/>
    <x v="0"/>
    <x v="2"/>
    <n v="59.59"/>
    <n v="4"/>
    <n v="11.917999999999999"/>
    <x v="484"/>
    <x v="35"/>
    <x v="305"/>
    <x v="0"/>
    <n v="238.36"/>
    <n v="4.7619047620000003"/>
    <n v="11.917999999999999"/>
    <n v="9.8000000000000007"/>
  </r>
  <r>
    <s v="728-47-9078"/>
    <x v="0"/>
    <x v="1"/>
    <x v="0"/>
    <x v="0"/>
    <x v="2"/>
    <n v="59.59"/>
    <n v="4"/>
    <n v="11.917999999999999"/>
    <x v="484"/>
    <x v="35"/>
    <x v="305"/>
    <x v="0"/>
    <n v="238.36"/>
    <n v="4.7619047620000003"/>
    <n v="11.917999999999999"/>
    <n v="9.8000000000000007"/>
  </r>
  <r>
    <s v="124-31-1458"/>
    <x v="1"/>
    <x v="1"/>
    <x v="0"/>
    <x v="1"/>
    <x v="5"/>
    <n v="79.59"/>
    <n v="3"/>
    <n v="11.938499999999999"/>
    <x v="485"/>
    <x v="3"/>
    <x v="340"/>
    <x v="0"/>
    <n v="238.77"/>
    <n v="4.7619047620000003"/>
    <n v="11.938499999999999"/>
    <n v="6.6"/>
  </r>
  <r>
    <s v="401-99-2174"/>
    <x v="1"/>
    <x v="2"/>
    <x v="0"/>
    <x v="0"/>
    <x v="5"/>
    <n v="79.59"/>
    <n v="3"/>
    <n v="11.938499999999999"/>
    <x v="485"/>
    <x v="3"/>
    <x v="340"/>
    <x v="0"/>
    <n v="238.77"/>
    <n v="4.7619047620000003"/>
    <n v="11.938499999999999"/>
    <n v="6.6"/>
  </r>
  <r>
    <s v="827-28-6479"/>
    <x v="0"/>
    <x v="2"/>
    <x v="0"/>
    <x v="0"/>
    <x v="5"/>
    <n v="79.59"/>
    <n v="3"/>
    <n v="11.938499999999999"/>
    <x v="485"/>
    <x v="3"/>
    <x v="340"/>
    <x v="0"/>
    <n v="238.77"/>
    <n v="4.7619047620000003"/>
    <n v="11.938499999999999"/>
    <n v="6.6"/>
  </r>
  <r>
    <s v="182-88-2763"/>
    <x v="0"/>
    <x v="1"/>
    <x v="0"/>
    <x v="0"/>
    <x v="2"/>
    <n v="79.91"/>
    <n v="3"/>
    <n v="11.986499999999999"/>
    <x v="486"/>
    <x v="34"/>
    <x v="202"/>
    <x v="0"/>
    <n v="239.73"/>
    <n v="4.7619047620000003"/>
    <n v="11.986499999999999"/>
    <n v="5"/>
  </r>
  <r>
    <s v="808-27-8904"/>
    <x v="2"/>
    <x v="1"/>
    <x v="0"/>
    <x v="0"/>
    <x v="2"/>
    <n v="79.91"/>
    <n v="3"/>
    <n v="11.986499999999999"/>
    <x v="486"/>
    <x v="34"/>
    <x v="202"/>
    <x v="2"/>
    <n v="239.73"/>
    <n v="4.7619047620000003"/>
    <n v="11.986499999999999"/>
    <n v="5"/>
  </r>
  <r>
    <s v="307-83-9164"/>
    <x v="1"/>
    <x v="1"/>
    <x v="1"/>
    <x v="0"/>
    <x v="3"/>
    <n v="60.01"/>
    <n v="4"/>
    <n v="12.002000000000001"/>
    <x v="487"/>
    <x v="6"/>
    <x v="341"/>
    <x v="0"/>
    <n v="240.04"/>
    <n v="4.7619047620000003"/>
    <n v="12.002000000000001"/>
    <n v="4.5"/>
  </r>
  <r>
    <s v="124-27-4395"/>
    <x v="1"/>
    <x v="1"/>
    <x v="1"/>
    <x v="0"/>
    <x v="3"/>
    <n v="60.01"/>
    <n v="4"/>
    <n v="12.002000000000001"/>
    <x v="487"/>
    <x v="6"/>
    <x v="341"/>
    <x v="0"/>
    <n v="240.04"/>
    <n v="4.7619047620000003"/>
    <n v="12.002000000000001"/>
    <n v="4.5"/>
  </r>
  <r>
    <s v="531-56-4728"/>
    <x v="1"/>
    <x v="1"/>
    <x v="1"/>
    <x v="0"/>
    <x v="3"/>
    <n v="80.08"/>
    <n v="3"/>
    <n v="12.012"/>
    <x v="488"/>
    <x v="88"/>
    <x v="127"/>
    <x v="0"/>
    <n v="240.24"/>
    <n v="4.7619047620000003"/>
    <n v="12.012"/>
    <n v="5.4"/>
  </r>
  <r>
    <s v="133-77-3154"/>
    <x v="0"/>
    <x v="1"/>
    <x v="0"/>
    <x v="0"/>
    <x v="1"/>
    <n v="60.18"/>
    <n v="4"/>
    <n v="12.036"/>
    <x v="489"/>
    <x v="59"/>
    <x v="342"/>
    <x v="2"/>
    <n v="240.72"/>
    <n v="4.7619047620000003"/>
    <n v="12.036"/>
    <n v="9.4"/>
  </r>
  <r>
    <s v="452-87-2673"/>
    <x v="2"/>
    <x v="1"/>
    <x v="0"/>
    <x v="0"/>
    <x v="1"/>
    <n v="60.18"/>
    <n v="4"/>
    <n v="12.036"/>
    <x v="489"/>
    <x v="59"/>
    <x v="342"/>
    <x v="2"/>
    <n v="240.72"/>
    <n v="4.7619047620000003"/>
    <n v="12.036"/>
    <n v="9.4"/>
  </r>
  <r>
    <s v="777-82-7220"/>
    <x v="2"/>
    <x v="1"/>
    <x v="0"/>
    <x v="0"/>
    <x v="3"/>
    <n v="30.12"/>
    <n v="8"/>
    <n v="12.048"/>
    <x v="490"/>
    <x v="18"/>
    <x v="141"/>
    <x v="0"/>
    <n v="240.96"/>
    <n v="4.7619047620000003"/>
    <n v="12.048"/>
    <n v="7.7"/>
  </r>
  <r>
    <s v="458-61-0011"/>
    <x v="0"/>
    <x v="1"/>
    <x v="1"/>
    <x v="0"/>
    <x v="2"/>
    <n v="60.3"/>
    <n v="4"/>
    <n v="12.06"/>
    <x v="491"/>
    <x v="76"/>
    <x v="94"/>
    <x v="0"/>
    <n v="241.2"/>
    <n v="4.7619047620000003"/>
    <n v="12.06"/>
    <n v="5.8"/>
  </r>
  <r>
    <s v="845-27-8366"/>
    <x v="2"/>
    <x v="1"/>
    <x v="1"/>
    <x v="0"/>
    <x v="2"/>
    <n v="60.3"/>
    <n v="4"/>
    <n v="12.06"/>
    <x v="491"/>
    <x v="76"/>
    <x v="94"/>
    <x v="0"/>
    <n v="241.2"/>
    <n v="4.7619047620000003"/>
    <n v="12.06"/>
    <n v="5.8"/>
  </r>
  <r>
    <s v="272-31-4331"/>
    <x v="0"/>
    <x v="0"/>
    <x v="0"/>
    <x v="0"/>
    <x v="1"/>
    <n v="80.48"/>
    <n v="3"/>
    <n v="12.071999999999999"/>
    <x v="492"/>
    <x v="74"/>
    <x v="343"/>
    <x v="0"/>
    <n v="241.44"/>
    <n v="4.7619047620000003"/>
    <n v="12.071999999999999"/>
    <n v="8.1"/>
  </r>
  <r>
    <s v="541-89-9860"/>
    <x v="0"/>
    <x v="1"/>
    <x v="0"/>
    <x v="1"/>
    <x v="1"/>
    <n v="80.48"/>
    <n v="3"/>
    <n v="12.071999999999999"/>
    <x v="492"/>
    <x v="74"/>
    <x v="343"/>
    <x v="0"/>
    <n v="241.44"/>
    <n v="4.7619047620000003"/>
    <n v="12.071999999999999"/>
    <n v="8.1"/>
  </r>
  <r>
    <s v="324-41-6833"/>
    <x v="0"/>
    <x v="1"/>
    <x v="0"/>
    <x v="1"/>
    <x v="5"/>
    <n v="30.2"/>
    <n v="8"/>
    <n v="12.08"/>
    <x v="493"/>
    <x v="18"/>
    <x v="123"/>
    <x v="0"/>
    <n v="241.6"/>
    <n v="4.7619047620000003"/>
    <n v="12.08"/>
    <n v="5.0999999999999996"/>
  </r>
  <r>
    <s v="361-80-5873"/>
    <x v="0"/>
    <x v="0"/>
    <x v="0"/>
    <x v="0"/>
    <x v="5"/>
    <n v="30.2"/>
    <n v="8"/>
    <n v="12.08"/>
    <x v="493"/>
    <x v="18"/>
    <x v="123"/>
    <x v="0"/>
    <n v="241.6"/>
    <n v="4.7619047620000003"/>
    <n v="12.08"/>
    <n v="5.0999999999999996"/>
  </r>
  <r>
    <s v="682-68-7908"/>
    <x v="0"/>
    <x v="1"/>
    <x v="0"/>
    <x v="1"/>
    <x v="5"/>
    <n v="30.2"/>
    <n v="8"/>
    <n v="12.08"/>
    <x v="493"/>
    <x v="18"/>
    <x v="123"/>
    <x v="0"/>
    <n v="241.6"/>
    <n v="4.7619047620000003"/>
    <n v="12.08"/>
    <n v="5.0999999999999996"/>
  </r>
  <r>
    <s v="477-60-4683"/>
    <x v="0"/>
    <x v="0"/>
    <x v="0"/>
    <x v="0"/>
    <x v="2"/>
    <n v="30.2"/>
    <n v="8"/>
    <n v="12.08"/>
    <x v="493"/>
    <x v="18"/>
    <x v="123"/>
    <x v="0"/>
    <n v="241.6"/>
    <n v="4.7619047620000003"/>
    <n v="12.08"/>
    <n v="5.0999999999999996"/>
  </r>
  <r>
    <s v="584-86-7256"/>
    <x v="0"/>
    <x v="0"/>
    <x v="0"/>
    <x v="0"/>
    <x v="0"/>
    <n v="34.56"/>
    <n v="7"/>
    <n v="12.096"/>
    <x v="494"/>
    <x v="79"/>
    <x v="344"/>
    <x v="2"/>
    <n v="241.92"/>
    <n v="4.7619047620000003"/>
    <n v="12.096"/>
    <n v="7.3"/>
  </r>
  <r>
    <s v="565-67-6697"/>
    <x v="2"/>
    <x v="1"/>
    <x v="1"/>
    <x v="0"/>
    <x v="3"/>
    <n v="27"/>
    <n v="9"/>
    <n v="12.15"/>
    <x v="495"/>
    <x v="23"/>
    <x v="345"/>
    <x v="0"/>
    <n v="243"/>
    <n v="4.7619047620000003"/>
    <n v="12.15"/>
    <n v="4.8"/>
  </r>
  <r>
    <s v="195-06-0432"/>
    <x v="1"/>
    <x v="2"/>
    <x v="0"/>
    <x v="0"/>
    <x v="3"/>
    <n v="81.010000000000005"/>
    <n v="3"/>
    <n v="12.1515"/>
    <x v="496"/>
    <x v="75"/>
    <x v="346"/>
    <x v="0"/>
    <n v="243.03"/>
    <n v="4.7619047620000003"/>
    <n v="12.1515"/>
    <n v="9.3000000000000007"/>
  </r>
  <r>
    <s v="386-90-9352"/>
    <x v="2"/>
    <x v="1"/>
    <x v="0"/>
    <x v="0"/>
    <x v="5"/>
    <n v="81.400000000000006"/>
    <n v="3"/>
    <n v="12.21"/>
    <x v="497"/>
    <x v="14"/>
    <x v="52"/>
    <x v="0"/>
    <n v="244.2"/>
    <n v="4.7619047620000003"/>
    <n v="12.21"/>
    <n v="4.8"/>
  </r>
  <r>
    <s v="866-05-7563"/>
    <x v="2"/>
    <x v="1"/>
    <x v="0"/>
    <x v="0"/>
    <x v="2"/>
    <n v="81.400000000000006"/>
    <n v="3"/>
    <n v="12.21"/>
    <x v="497"/>
    <x v="14"/>
    <x v="52"/>
    <x v="0"/>
    <n v="244.2"/>
    <n v="4.7619047620000003"/>
    <n v="12.21"/>
    <n v="4.8"/>
  </r>
  <r>
    <s v="854-60-2053"/>
    <x v="0"/>
    <x v="1"/>
    <x v="0"/>
    <x v="0"/>
    <x v="5"/>
    <n v="81.400000000000006"/>
    <n v="3"/>
    <n v="12.21"/>
    <x v="497"/>
    <x v="14"/>
    <x v="52"/>
    <x v="0"/>
    <n v="244.2"/>
    <n v="4.7619047620000003"/>
    <n v="12.21"/>
    <n v="4.8"/>
  </r>
  <r>
    <s v="360-39-5055"/>
    <x v="0"/>
    <x v="0"/>
    <x v="0"/>
    <x v="0"/>
    <x v="0"/>
    <n v="48.91"/>
    <n v="5"/>
    <n v="12.227499999999999"/>
    <x v="498"/>
    <x v="8"/>
    <x v="182"/>
    <x v="0"/>
    <n v="244.55"/>
    <n v="4.7619047620000003"/>
    <n v="12.227499999999999"/>
    <n v="6.6"/>
  </r>
  <r>
    <s v="444-52-4896"/>
    <x v="0"/>
    <x v="0"/>
    <x v="0"/>
    <x v="0"/>
    <x v="2"/>
    <n v="48.91"/>
    <n v="5"/>
    <n v="12.227499999999999"/>
    <x v="498"/>
    <x v="8"/>
    <x v="182"/>
    <x v="0"/>
    <n v="244.55"/>
    <n v="4.7619047620000003"/>
    <n v="12.227499999999999"/>
    <n v="6.6"/>
  </r>
  <r>
    <s v="260-59-7689"/>
    <x v="1"/>
    <x v="2"/>
    <x v="0"/>
    <x v="0"/>
    <x v="0"/>
    <n v="24.49"/>
    <n v="10"/>
    <n v="12.244999999999999"/>
    <x v="499"/>
    <x v="21"/>
    <x v="347"/>
    <x v="0"/>
    <n v="244.9"/>
    <n v="4.7619047620000003"/>
    <n v="12.244999999999999"/>
    <n v="8.1"/>
  </r>
  <r>
    <s v="864-24-7918"/>
    <x v="1"/>
    <x v="1"/>
    <x v="0"/>
    <x v="1"/>
    <x v="2"/>
    <n v="24.49"/>
    <n v="10"/>
    <n v="12.244999999999999"/>
    <x v="499"/>
    <x v="21"/>
    <x v="347"/>
    <x v="0"/>
    <n v="244.9"/>
    <n v="4.7619047620000003"/>
    <n v="12.244999999999999"/>
    <n v="8.1"/>
  </r>
  <r>
    <s v="793-10-3222"/>
    <x v="0"/>
    <x v="1"/>
    <x v="0"/>
    <x v="1"/>
    <x v="4"/>
    <n v="41.06"/>
    <n v="6"/>
    <n v="12.318"/>
    <x v="500"/>
    <x v="53"/>
    <x v="260"/>
    <x v="2"/>
    <n v="246.36"/>
    <n v="4.7619047620000003"/>
    <n v="12.318"/>
    <n v="8.3000000000000007"/>
  </r>
  <r>
    <s v="583-79-6657"/>
    <x v="0"/>
    <x v="0"/>
    <x v="1"/>
    <x v="0"/>
    <x v="5"/>
    <n v="24.74"/>
    <n v="10"/>
    <n v="12.37"/>
    <x v="501"/>
    <x v="49"/>
    <x v="348"/>
    <x v="0"/>
    <n v="247.4"/>
    <n v="4.7619047620000003"/>
    <n v="12.37"/>
    <n v="7.1"/>
  </r>
  <r>
    <s v="740-11-5257"/>
    <x v="0"/>
    <x v="0"/>
    <x v="1"/>
    <x v="0"/>
    <x v="5"/>
    <n v="24.74"/>
    <n v="10"/>
    <n v="12.37"/>
    <x v="501"/>
    <x v="49"/>
    <x v="348"/>
    <x v="0"/>
    <n v="247.4"/>
    <n v="4.7619047620000003"/>
    <n v="12.37"/>
    <n v="7.1"/>
  </r>
  <r>
    <s v="826-58-8051"/>
    <x v="0"/>
    <x v="1"/>
    <x v="1"/>
    <x v="0"/>
    <x v="3"/>
    <n v="62.19"/>
    <n v="4"/>
    <n v="12.438000000000001"/>
    <x v="502"/>
    <x v="5"/>
    <x v="78"/>
    <x v="1"/>
    <n v="248.76"/>
    <n v="4.7619047620000003"/>
    <n v="12.438000000000001"/>
    <n v="4.3"/>
  </r>
  <r>
    <s v="712-39-0363"/>
    <x v="0"/>
    <x v="2"/>
    <x v="0"/>
    <x v="0"/>
    <x v="2"/>
    <n v="41.66"/>
    <n v="6"/>
    <n v="12.497999999999999"/>
    <x v="503"/>
    <x v="44"/>
    <x v="349"/>
    <x v="1"/>
    <n v="249.96"/>
    <n v="4.7619047620000003"/>
    <n v="12.497999999999999"/>
    <n v="5.6"/>
  </r>
  <r>
    <s v="305-71-5358"/>
    <x v="1"/>
    <x v="1"/>
    <x v="0"/>
    <x v="0"/>
    <x v="2"/>
    <n v="41.66"/>
    <n v="6"/>
    <n v="12.497999999999999"/>
    <x v="503"/>
    <x v="44"/>
    <x v="349"/>
    <x v="1"/>
    <n v="249.96"/>
    <n v="4.7619047620000003"/>
    <n v="12.497999999999999"/>
    <n v="5.6"/>
  </r>
  <r>
    <s v="636-17-0325"/>
    <x v="2"/>
    <x v="1"/>
    <x v="1"/>
    <x v="0"/>
    <x v="4"/>
    <n v="62.57"/>
    <n v="4"/>
    <n v="12.513999999999999"/>
    <x v="504"/>
    <x v="42"/>
    <x v="219"/>
    <x v="0"/>
    <n v="250.28"/>
    <n v="4.7619047620000003"/>
    <n v="12.513999999999999"/>
    <n v="9.5"/>
  </r>
  <r>
    <s v="352-51-2461"/>
    <x v="2"/>
    <x v="0"/>
    <x v="1"/>
    <x v="0"/>
    <x v="4"/>
    <n v="62.57"/>
    <n v="4"/>
    <n v="12.513999999999999"/>
    <x v="504"/>
    <x v="42"/>
    <x v="219"/>
    <x v="0"/>
    <n v="250.28"/>
    <n v="4.7619047620000003"/>
    <n v="12.513999999999999"/>
    <n v="9.3000000000000007"/>
  </r>
  <r>
    <s v="217-58-1179"/>
    <x v="1"/>
    <x v="2"/>
    <x v="0"/>
    <x v="0"/>
    <x v="3"/>
    <n v="62.65"/>
    <n v="4"/>
    <n v="12.53"/>
    <x v="505"/>
    <x v="32"/>
    <x v="350"/>
    <x v="0"/>
    <n v="250.6"/>
    <n v="4.7619047620000003"/>
    <n v="12.53"/>
    <n v="4.2"/>
  </r>
  <r>
    <s v="307-85-2293"/>
    <x v="2"/>
    <x v="1"/>
    <x v="1"/>
    <x v="0"/>
    <x v="3"/>
    <n v="50.28"/>
    <n v="5"/>
    <n v="12.57"/>
    <x v="506"/>
    <x v="33"/>
    <x v="150"/>
    <x v="0"/>
    <n v="251.4"/>
    <n v="4.7619047620000003"/>
    <n v="12.57"/>
    <n v="9.6999999999999993"/>
  </r>
  <r>
    <s v="574-80-1489"/>
    <x v="2"/>
    <x v="1"/>
    <x v="0"/>
    <x v="1"/>
    <x v="2"/>
    <n v="62.85"/>
    <n v="4"/>
    <n v="12.57"/>
    <x v="506"/>
    <x v="42"/>
    <x v="37"/>
    <x v="0"/>
    <n v="251.4"/>
    <n v="4.7619047620000003"/>
    <n v="12.57"/>
    <n v="8.6999999999999993"/>
  </r>
  <r>
    <s v="646-78-5925"/>
    <x v="2"/>
    <x v="1"/>
    <x v="0"/>
    <x v="0"/>
    <x v="2"/>
    <n v="62.85"/>
    <n v="4"/>
    <n v="12.57"/>
    <x v="506"/>
    <x v="42"/>
    <x v="37"/>
    <x v="1"/>
    <n v="251.4"/>
    <n v="4.7619047620000003"/>
    <n v="12.57"/>
    <n v="8.6999999999999993"/>
  </r>
  <r>
    <s v="980-66-1682"/>
    <x v="2"/>
    <x v="1"/>
    <x v="1"/>
    <x v="0"/>
    <x v="3"/>
    <n v="50.28"/>
    <n v="5"/>
    <n v="12.57"/>
    <x v="506"/>
    <x v="33"/>
    <x v="150"/>
    <x v="0"/>
    <n v="251.4"/>
    <n v="4.7619047620000003"/>
    <n v="12.57"/>
    <n v="9.6999999999999993"/>
  </r>
  <r>
    <s v="596-74-6168"/>
    <x v="2"/>
    <x v="0"/>
    <x v="0"/>
    <x v="0"/>
    <x v="2"/>
    <n v="62.85"/>
    <n v="4"/>
    <n v="12.57"/>
    <x v="506"/>
    <x v="42"/>
    <x v="37"/>
    <x v="1"/>
    <n v="251.4"/>
    <n v="4.7619047620000003"/>
    <n v="12.57"/>
    <n v="9.4"/>
  </r>
  <r>
    <s v="740-22-2500"/>
    <x v="0"/>
    <x v="0"/>
    <x v="1"/>
    <x v="1"/>
    <x v="5"/>
    <n v="84.05"/>
    <n v="3"/>
    <n v="12.6075"/>
    <x v="507"/>
    <x v="27"/>
    <x v="46"/>
    <x v="0"/>
    <n v="252.15"/>
    <n v="4.7619047620000003"/>
    <n v="12.6075"/>
    <n v="9.8000000000000007"/>
  </r>
  <r>
    <s v="777-49-3059"/>
    <x v="0"/>
    <x v="0"/>
    <x v="1"/>
    <x v="0"/>
    <x v="5"/>
    <n v="84.05"/>
    <n v="3"/>
    <n v="12.6075"/>
    <x v="507"/>
    <x v="27"/>
    <x v="46"/>
    <x v="0"/>
    <n v="252.15"/>
    <n v="4.7619047620000003"/>
    <n v="12.6075"/>
    <n v="9.8000000000000007"/>
  </r>
  <r>
    <s v="382-25-8917"/>
    <x v="0"/>
    <x v="1"/>
    <x v="1"/>
    <x v="0"/>
    <x v="1"/>
    <n v="42.08"/>
    <n v="6"/>
    <n v="12.624000000000001"/>
    <x v="508"/>
    <x v="38"/>
    <x v="351"/>
    <x v="0"/>
    <n v="252.48"/>
    <n v="4.7619047620000003"/>
    <n v="12.624000000000001"/>
    <n v="8.9"/>
  </r>
  <r>
    <s v="487-67-9184"/>
    <x v="0"/>
    <x v="0"/>
    <x v="1"/>
    <x v="0"/>
    <x v="1"/>
    <n v="42.08"/>
    <n v="6"/>
    <n v="12.624000000000001"/>
    <x v="508"/>
    <x v="38"/>
    <x v="351"/>
    <x v="0"/>
    <n v="252.48"/>
    <n v="4.7619047620000003"/>
    <n v="12.624000000000001"/>
    <n v="8.9"/>
  </r>
  <r>
    <s v="819-22-2685"/>
    <x v="0"/>
    <x v="1"/>
    <x v="1"/>
    <x v="0"/>
    <x v="1"/>
    <n v="42.08"/>
    <n v="6"/>
    <n v="12.624000000000001"/>
    <x v="508"/>
    <x v="38"/>
    <x v="351"/>
    <x v="0"/>
    <n v="252.48"/>
    <n v="4.7619047620000003"/>
    <n v="12.624000000000001"/>
    <n v="8.9"/>
  </r>
  <r>
    <s v="345-68-9016"/>
    <x v="0"/>
    <x v="1"/>
    <x v="0"/>
    <x v="1"/>
    <x v="0"/>
    <n v="31.67"/>
    <n v="8"/>
    <n v="12.667999999999999"/>
    <x v="509"/>
    <x v="44"/>
    <x v="352"/>
    <x v="0"/>
    <n v="253.36"/>
    <n v="4.7619047620000003"/>
    <n v="12.667999999999999"/>
    <n v="5.6"/>
  </r>
  <r>
    <s v="695-44-3418"/>
    <x v="0"/>
    <x v="0"/>
    <x v="0"/>
    <x v="0"/>
    <x v="0"/>
    <n v="31.67"/>
    <n v="8"/>
    <n v="12.667999999999999"/>
    <x v="509"/>
    <x v="44"/>
    <x v="352"/>
    <x v="2"/>
    <n v="253.36"/>
    <n v="4.7619047620000003"/>
    <n v="12.667999999999999"/>
    <n v="5.6"/>
  </r>
  <r>
    <s v="773-69-1545"/>
    <x v="0"/>
    <x v="1"/>
    <x v="0"/>
    <x v="1"/>
    <x v="2"/>
    <n v="31.67"/>
    <n v="8"/>
    <n v="12.667999999999999"/>
    <x v="509"/>
    <x v="44"/>
    <x v="352"/>
    <x v="0"/>
    <n v="253.36"/>
    <n v="4.7619047620000003"/>
    <n v="12.667999999999999"/>
    <n v="5.6"/>
  </r>
  <r>
    <s v="449-16-6770"/>
    <x v="1"/>
    <x v="2"/>
    <x v="1"/>
    <x v="0"/>
    <x v="4"/>
    <n v="50.79"/>
    <n v="5"/>
    <n v="12.6975"/>
    <x v="510"/>
    <x v="87"/>
    <x v="95"/>
    <x v="0"/>
    <n v="253.95"/>
    <n v="4.7619047620000003"/>
    <n v="12.6975"/>
    <n v="5.3"/>
  </r>
  <r>
    <s v="539-17-6812"/>
    <x v="1"/>
    <x v="2"/>
    <x v="1"/>
    <x v="0"/>
    <x v="4"/>
    <n v="50.79"/>
    <n v="5"/>
    <n v="12.6975"/>
    <x v="510"/>
    <x v="87"/>
    <x v="95"/>
    <x v="0"/>
    <n v="253.95"/>
    <n v="4.7619047620000003"/>
    <n v="12.6975"/>
    <n v="5.3"/>
  </r>
  <r>
    <s v="205-29-1011"/>
    <x v="0"/>
    <x v="1"/>
    <x v="1"/>
    <x v="0"/>
    <x v="2"/>
    <n v="50.79"/>
    <n v="5"/>
    <n v="12.6975"/>
    <x v="510"/>
    <x v="87"/>
    <x v="95"/>
    <x v="0"/>
    <n v="253.95"/>
    <n v="4.7619047620000003"/>
    <n v="12.6975"/>
    <n v="5.3"/>
  </r>
  <r>
    <s v="288-38-3758"/>
    <x v="0"/>
    <x v="1"/>
    <x v="0"/>
    <x v="1"/>
    <x v="1"/>
    <n v="84.87"/>
    <n v="3"/>
    <n v="12.730499999999999"/>
    <x v="511"/>
    <x v="6"/>
    <x v="353"/>
    <x v="0"/>
    <n v="254.61"/>
    <n v="4.7619047620000003"/>
    <n v="12.730499999999999"/>
    <n v="7.4"/>
  </r>
  <r>
    <s v="918-24-3239"/>
    <x v="1"/>
    <x v="1"/>
    <x v="0"/>
    <x v="1"/>
    <x v="2"/>
    <n v="84.87"/>
    <n v="3"/>
    <n v="12.730499999999999"/>
    <x v="511"/>
    <x v="6"/>
    <x v="353"/>
    <x v="1"/>
    <n v="254.61"/>
    <n v="4.7619047620000003"/>
    <n v="12.730499999999999"/>
    <n v="7.4"/>
  </r>
  <r>
    <s v="470-32-9057"/>
    <x v="0"/>
    <x v="2"/>
    <x v="0"/>
    <x v="0"/>
    <x v="2"/>
    <n v="51.34"/>
    <n v="5"/>
    <n v="12.835000000000001"/>
    <x v="512"/>
    <x v="70"/>
    <x v="41"/>
    <x v="2"/>
    <n v="256.7"/>
    <n v="4.7619047620000003"/>
    <n v="12.835000000000001"/>
    <n v="9.1"/>
  </r>
  <r>
    <s v="929-38-6145"/>
    <x v="1"/>
    <x v="1"/>
    <x v="0"/>
    <x v="0"/>
    <x v="2"/>
    <n v="51.34"/>
    <n v="5"/>
    <n v="12.835000000000001"/>
    <x v="512"/>
    <x v="70"/>
    <x v="41"/>
    <x v="2"/>
    <n v="256.7"/>
    <n v="4.7619047620000003"/>
    <n v="12.835000000000001"/>
    <n v="9.1"/>
  </r>
  <r>
    <s v="797-88-0493"/>
    <x v="0"/>
    <x v="2"/>
    <x v="1"/>
    <x v="1"/>
    <x v="4"/>
    <n v="64.27"/>
    <n v="4"/>
    <n v="12.853999999999999"/>
    <x v="513"/>
    <x v="39"/>
    <x v="354"/>
    <x v="0"/>
    <n v="257.08"/>
    <n v="4.7619047620000003"/>
    <n v="12.853999999999999"/>
    <n v="7.7"/>
  </r>
  <r>
    <s v="235-06-8510"/>
    <x v="0"/>
    <x v="0"/>
    <x v="0"/>
    <x v="0"/>
    <x v="3"/>
    <n v="85.72"/>
    <n v="3"/>
    <n v="12.858000000000001"/>
    <x v="514"/>
    <x v="61"/>
    <x v="227"/>
    <x v="0"/>
    <n v="257.16000000000003"/>
    <n v="4.7619047620000003"/>
    <n v="12.858000000000001"/>
    <n v="5.0999999999999996"/>
  </r>
  <r>
    <s v="557-33-5848"/>
    <x v="0"/>
    <x v="0"/>
    <x v="0"/>
    <x v="1"/>
    <x v="2"/>
    <n v="36.770000000000003"/>
    <n v="7"/>
    <n v="12.8695"/>
    <x v="515"/>
    <x v="68"/>
    <x v="355"/>
    <x v="0"/>
    <n v="257.39"/>
    <n v="4.7619047620000003"/>
    <n v="12.8695"/>
    <n v="7.4"/>
  </r>
  <r>
    <s v="592-46-1692"/>
    <x v="0"/>
    <x v="1"/>
    <x v="0"/>
    <x v="1"/>
    <x v="2"/>
    <n v="36.770000000000003"/>
    <n v="7"/>
    <n v="12.8695"/>
    <x v="515"/>
    <x v="68"/>
    <x v="355"/>
    <x v="0"/>
    <n v="257.39"/>
    <n v="4.7619047620000003"/>
    <n v="12.8695"/>
    <n v="7.4"/>
  </r>
  <r>
    <s v="539-21-7227"/>
    <x v="0"/>
    <x v="1"/>
    <x v="1"/>
    <x v="1"/>
    <x v="0"/>
    <n v="51.54"/>
    <n v="5"/>
    <n v="12.885"/>
    <x v="516"/>
    <x v="1"/>
    <x v="356"/>
    <x v="0"/>
    <n v="257.7"/>
    <n v="4.7619047620000003"/>
    <n v="12.885"/>
    <n v="4.2"/>
  </r>
  <r>
    <s v="818-26-8346"/>
    <x v="2"/>
    <x v="1"/>
    <x v="1"/>
    <x v="0"/>
    <x v="0"/>
    <n v="51.54"/>
    <n v="5"/>
    <n v="12.885"/>
    <x v="516"/>
    <x v="1"/>
    <x v="356"/>
    <x v="0"/>
    <n v="257.7"/>
    <n v="4.7619047620000003"/>
    <n v="12.885"/>
    <n v="4.2"/>
  </r>
  <r>
    <s v="659-91-6218"/>
    <x v="1"/>
    <x v="2"/>
    <x v="1"/>
    <x v="0"/>
    <x v="0"/>
    <n v="64.59"/>
    <n v="4"/>
    <n v="12.917999999999999"/>
    <x v="517"/>
    <x v="5"/>
    <x v="357"/>
    <x v="1"/>
    <n v="258.36"/>
    <n v="4.7619047620000003"/>
    <n v="12.917999999999999"/>
    <n v="9.3000000000000007"/>
  </r>
  <r>
    <s v="852-82-2749"/>
    <x v="1"/>
    <x v="1"/>
    <x v="1"/>
    <x v="0"/>
    <x v="2"/>
    <n v="64.59"/>
    <n v="4"/>
    <n v="12.917999999999999"/>
    <x v="517"/>
    <x v="5"/>
    <x v="357"/>
    <x v="0"/>
    <n v="258.36"/>
    <n v="4.7619047620000003"/>
    <n v="12.917999999999999"/>
    <n v="9.3000000000000007"/>
  </r>
  <r>
    <s v="684-45-3989"/>
    <x v="1"/>
    <x v="0"/>
    <x v="1"/>
    <x v="0"/>
    <x v="0"/>
    <n v="64.59"/>
    <n v="4"/>
    <n v="12.917999999999999"/>
    <x v="517"/>
    <x v="5"/>
    <x v="357"/>
    <x v="1"/>
    <n v="258.36"/>
    <n v="4.7619047620000003"/>
    <n v="12.917999999999999"/>
    <n v="9.5"/>
  </r>
  <r>
    <s v="448-34-8700"/>
    <x v="2"/>
    <x v="1"/>
    <x v="0"/>
    <x v="0"/>
    <x v="3"/>
    <n v="36.909999999999997"/>
    <n v="7"/>
    <n v="12.9185"/>
    <x v="518"/>
    <x v="64"/>
    <x v="358"/>
    <x v="0"/>
    <n v="258.37"/>
    <n v="4.7619047620000003"/>
    <n v="12.9185"/>
    <n v="6.7"/>
  </r>
  <r>
    <s v="573-48-5075"/>
    <x v="0"/>
    <x v="1"/>
    <x v="1"/>
    <x v="0"/>
    <x v="3"/>
    <n v="36.909999999999997"/>
    <n v="7"/>
    <n v="12.9185"/>
    <x v="518"/>
    <x v="64"/>
    <x v="358"/>
    <x v="0"/>
    <n v="258.37"/>
    <n v="4.7619047620000003"/>
    <n v="12.9185"/>
    <n v="6.7"/>
  </r>
  <r>
    <s v="502-33-1389"/>
    <x v="0"/>
    <x v="1"/>
    <x v="1"/>
    <x v="0"/>
    <x v="2"/>
    <n v="36.909999999999997"/>
    <n v="7"/>
    <n v="12.9185"/>
    <x v="518"/>
    <x v="64"/>
    <x v="358"/>
    <x v="0"/>
    <n v="258.37"/>
    <n v="4.7619047620000003"/>
    <n v="12.9185"/>
    <n v="6.7"/>
  </r>
  <r>
    <s v="875-46-5808"/>
    <x v="2"/>
    <x v="1"/>
    <x v="0"/>
    <x v="0"/>
    <x v="2"/>
    <n v="25.9"/>
    <n v="10"/>
    <n v="12.95"/>
    <x v="519"/>
    <x v="51"/>
    <x v="359"/>
    <x v="1"/>
    <n v="259"/>
    <n v="4.7619047620000003"/>
    <n v="12.95"/>
    <n v="8.6999999999999993"/>
  </r>
  <r>
    <s v="211-05-0490"/>
    <x v="0"/>
    <x v="1"/>
    <x v="1"/>
    <x v="1"/>
    <x v="5"/>
    <n v="51.92"/>
    <n v="5"/>
    <n v="12.98"/>
    <x v="520"/>
    <x v="18"/>
    <x v="360"/>
    <x v="0"/>
    <n v="259.60000000000002"/>
    <n v="4.7619047620000003"/>
    <n v="12.98"/>
    <n v="7.5"/>
  </r>
  <r>
    <s v="640-37-4783"/>
    <x v="0"/>
    <x v="0"/>
    <x v="0"/>
    <x v="0"/>
    <x v="5"/>
    <n v="51.92"/>
    <n v="5"/>
    <n v="12.98"/>
    <x v="520"/>
    <x v="18"/>
    <x v="360"/>
    <x v="0"/>
    <n v="259.60000000000002"/>
    <n v="4.7619047620000003"/>
    <n v="12.98"/>
    <n v="7.5"/>
  </r>
  <r>
    <s v="644-39-4325"/>
    <x v="0"/>
    <x v="0"/>
    <x v="0"/>
    <x v="0"/>
    <x v="5"/>
    <n v="51.92"/>
    <n v="5"/>
    <n v="12.98"/>
    <x v="520"/>
    <x v="18"/>
    <x v="360"/>
    <x v="0"/>
    <n v="259.60000000000002"/>
    <n v="4.7619047620000003"/>
    <n v="12.98"/>
    <n v="9.6"/>
  </r>
  <r>
    <s v="238-49-0436"/>
    <x v="1"/>
    <x v="2"/>
    <x v="1"/>
    <x v="0"/>
    <x v="4"/>
    <n v="32.46"/>
    <n v="8"/>
    <n v="12.984"/>
    <x v="521"/>
    <x v="82"/>
    <x v="119"/>
    <x v="2"/>
    <n v="259.68"/>
    <n v="4.7619047620000003"/>
    <n v="12.984"/>
    <n v="4.9000000000000004"/>
  </r>
  <r>
    <s v="440-59-5691"/>
    <x v="0"/>
    <x v="0"/>
    <x v="0"/>
    <x v="1"/>
    <x v="4"/>
    <n v="37.15"/>
    <n v="7"/>
    <n v="13.0025"/>
    <x v="522"/>
    <x v="13"/>
    <x v="240"/>
    <x v="0"/>
    <n v="260.05"/>
    <n v="4.7619047620000003"/>
    <n v="13.0025"/>
    <n v="7.7"/>
  </r>
  <r>
    <s v="952-22-7546"/>
    <x v="0"/>
    <x v="0"/>
    <x v="1"/>
    <x v="1"/>
    <x v="4"/>
    <n v="37.15"/>
    <n v="7"/>
    <n v="13.0025"/>
    <x v="522"/>
    <x v="13"/>
    <x v="240"/>
    <x v="0"/>
    <n v="260.05"/>
    <n v="4.7619047620000003"/>
    <n v="13.0025"/>
    <n v="7.7"/>
  </r>
  <r>
    <s v="342-65-4817"/>
    <x v="0"/>
    <x v="0"/>
    <x v="0"/>
    <x v="0"/>
    <x v="4"/>
    <n v="86.8"/>
    <n v="3"/>
    <n v="13.02"/>
    <x v="523"/>
    <x v="12"/>
    <x v="361"/>
    <x v="0"/>
    <n v="260.39999999999998"/>
    <n v="4.7619047620000003"/>
    <n v="13.02"/>
    <n v="9.9"/>
  </r>
  <r>
    <s v="113-59-7173"/>
    <x v="0"/>
    <x v="0"/>
    <x v="0"/>
    <x v="0"/>
    <x v="2"/>
    <n v="86.8"/>
    <n v="3"/>
    <n v="13.02"/>
    <x v="523"/>
    <x v="12"/>
    <x v="361"/>
    <x v="0"/>
    <n v="260.39999999999998"/>
    <n v="4.7619047620000003"/>
    <n v="13.02"/>
    <n v="9.9"/>
  </r>
  <r>
    <s v="641-96-3695"/>
    <x v="0"/>
    <x v="0"/>
    <x v="0"/>
    <x v="1"/>
    <x v="1"/>
    <n v="43.46"/>
    <n v="6"/>
    <n v="13.038"/>
    <x v="524"/>
    <x v="0"/>
    <x v="362"/>
    <x v="0"/>
    <n v="260.76"/>
    <n v="4.7619047620000003"/>
    <n v="13.038"/>
    <n v="8.5"/>
  </r>
  <r>
    <s v="662-35-6978"/>
    <x v="0"/>
    <x v="1"/>
    <x v="0"/>
    <x v="0"/>
    <x v="1"/>
    <n v="43.46"/>
    <n v="6"/>
    <n v="13.038"/>
    <x v="524"/>
    <x v="0"/>
    <x v="362"/>
    <x v="1"/>
    <n v="260.76"/>
    <n v="4.7619047620000003"/>
    <n v="13.038"/>
    <n v="8.5"/>
  </r>
  <r>
    <s v="621-84-8957"/>
    <x v="0"/>
    <x v="0"/>
    <x v="0"/>
    <x v="1"/>
    <x v="1"/>
    <n v="43.46"/>
    <n v="6"/>
    <n v="13.038"/>
    <x v="524"/>
    <x v="0"/>
    <x v="362"/>
    <x v="0"/>
    <n v="260.76"/>
    <n v="4.7619047620000003"/>
    <n v="13.038"/>
    <n v="9.6999999999999993"/>
  </r>
  <r>
    <s v="674-10-2423"/>
    <x v="0"/>
    <x v="0"/>
    <x v="0"/>
    <x v="0"/>
    <x v="1"/>
    <n v="43.46"/>
    <n v="6"/>
    <n v="13.038"/>
    <x v="524"/>
    <x v="0"/>
    <x v="362"/>
    <x v="1"/>
    <n v="260.76"/>
    <n v="4.7619047620000003"/>
    <n v="13.038"/>
    <n v="9.8000000000000007"/>
  </r>
  <r>
    <s v="380-94-4661"/>
    <x v="0"/>
    <x v="1"/>
    <x v="0"/>
    <x v="0"/>
    <x v="5"/>
    <n v="65.94"/>
    <n v="4"/>
    <n v="13.188000000000001"/>
    <x v="525"/>
    <x v="0"/>
    <x v="295"/>
    <x v="0"/>
    <n v="263.76"/>
    <n v="4.7619047620000003"/>
    <n v="13.188000000000001"/>
    <n v="6.9"/>
  </r>
  <r>
    <s v="468-88-0009"/>
    <x v="1"/>
    <x v="1"/>
    <x v="0"/>
    <x v="0"/>
    <x v="3"/>
    <n v="65.94"/>
    <n v="4"/>
    <n v="13.188000000000001"/>
    <x v="525"/>
    <x v="73"/>
    <x v="130"/>
    <x v="0"/>
    <n v="263.76"/>
    <n v="4.7619047620000003"/>
    <n v="13.188000000000001"/>
    <n v="6"/>
  </r>
  <r>
    <s v="534-38-2444"/>
    <x v="0"/>
    <x v="0"/>
    <x v="0"/>
    <x v="0"/>
    <x v="5"/>
    <n v="65.94"/>
    <n v="4"/>
    <n v="13.188000000000001"/>
    <x v="525"/>
    <x v="0"/>
    <x v="295"/>
    <x v="2"/>
    <n v="263.76"/>
    <n v="4.7619047620000003"/>
    <n v="13.188000000000001"/>
    <n v="6.9"/>
  </r>
  <r>
    <s v="497-59-9645"/>
    <x v="0"/>
    <x v="1"/>
    <x v="0"/>
    <x v="0"/>
    <x v="5"/>
    <n v="65.94"/>
    <n v="4"/>
    <n v="13.188000000000001"/>
    <x v="525"/>
    <x v="0"/>
    <x v="295"/>
    <x v="0"/>
    <n v="263.76"/>
    <n v="4.7619047620000003"/>
    <n v="13.188000000000001"/>
    <n v="6.9"/>
  </r>
  <r>
    <s v="371-85-5789"/>
    <x v="2"/>
    <x v="1"/>
    <x v="1"/>
    <x v="0"/>
    <x v="4"/>
    <n v="87.98"/>
    <n v="3"/>
    <n v="13.196999999999999"/>
    <x v="526"/>
    <x v="53"/>
    <x v="137"/>
    <x v="0"/>
    <n v="263.94"/>
    <n v="4.7619047620000003"/>
    <n v="13.196999999999999"/>
    <n v="5.0999999999999996"/>
  </r>
  <r>
    <s v="209-29-3863"/>
    <x v="0"/>
    <x v="1"/>
    <x v="1"/>
    <x v="0"/>
    <x v="2"/>
    <n v="87.98"/>
    <n v="3"/>
    <n v="13.196999999999999"/>
    <x v="526"/>
    <x v="53"/>
    <x v="137"/>
    <x v="0"/>
    <n v="263.94"/>
    <n v="4.7619047620000003"/>
    <n v="13.196999999999999"/>
    <n v="5.0999999999999996"/>
  </r>
  <r>
    <s v="119-83-3321"/>
    <x v="1"/>
    <x v="2"/>
    <x v="0"/>
    <x v="0"/>
    <x v="1"/>
    <n v="88.15"/>
    <n v="3"/>
    <n v="13.2225"/>
    <x v="527"/>
    <x v="40"/>
    <x v="43"/>
    <x v="1"/>
    <n v="264.45"/>
    <n v="4.7619047620000003"/>
    <n v="13.2225"/>
    <n v="7.9"/>
  </r>
  <r>
    <s v="562-12-5430"/>
    <x v="0"/>
    <x v="2"/>
    <x v="0"/>
    <x v="1"/>
    <x v="1"/>
    <n v="88.15"/>
    <n v="3"/>
    <n v="13.2225"/>
    <x v="527"/>
    <x v="40"/>
    <x v="43"/>
    <x v="1"/>
    <n v="264.45"/>
    <n v="4.7619047620000003"/>
    <n v="13.2225"/>
    <n v="7.9"/>
  </r>
  <r>
    <s v="568-90-5112"/>
    <x v="0"/>
    <x v="0"/>
    <x v="1"/>
    <x v="0"/>
    <x v="4"/>
    <n v="66.14"/>
    <n v="4"/>
    <n v="13.228"/>
    <x v="528"/>
    <x v="7"/>
    <x v="305"/>
    <x v="2"/>
    <n v="264.56"/>
    <n v="4.7619047620000003"/>
    <n v="13.228"/>
    <n v="5.6"/>
  </r>
  <r>
    <s v="549-59-1358"/>
    <x v="1"/>
    <x v="2"/>
    <x v="0"/>
    <x v="0"/>
    <x v="0"/>
    <n v="88.63"/>
    <n v="3"/>
    <n v="13.294499999999999"/>
    <x v="529"/>
    <x v="23"/>
    <x v="186"/>
    <x v="1"/>
    <n v="265.89"/>
    <n v="4.7619047620000003"/>
    <n v="13.294499999999999"/>
    <n v="6"/>
  </r>
  <r>
    <s v="499-94-1241"/>
    <x v="1"/>
    <x v="2"/>
    <x v="1"/>
    <x v="0"/>
    <x v="2"/>
    <n v="66.52"/>
    <n v="4"/>
    <n v="13.304"/>
    <x v="530"/>
    <x v="23"/>
    <x v="106"/>
    <x v="1"/>
    <n v="266.08"/>
    <n v="4.7619047620000003"/>
    <n v="13.304"/>
    <n v="6.9"/>
  </r>
  <r>
    <s v="720-72-2436"/>
    <x v="1"/>
    <x v="2"/>
    <x v="1"/>
    <x v="0"/>
    <x v="2"/>
    <n v="66.52"/>
    <n v="4"/>
    <n v="13.304"/>
    <x v="530"/>
    <x v="23"/>
    <x v="106"/>
    <x v="0"/>
    <n v="266.08"/>
    <n v="4.7619047620000003"/>
    <n v="13.304"/>
    <n v="6.9"/>
  </r>
  <r>
    <s v="343-61-3544"/>
    <x v="0"/>
    <x v="1"/>
    <x v="0"/>
    <x v="0"/>
    <x v="0"/>
    <n v="26.67"/>
    <n v="10"/>
    <n v="13.335000000000001"/>
    <x v="531"/>
    <x v="38"/>
    <x v="316"/>
    <x v="0"/>
    <n v="266.7"/>
    <n v="4.7619047620000003"/>
    <n v="13.335000000000001"/>
    <n v="8.6"/>
  </r>
  <r>
    <s v="681-63-4004"/>
    <x v="2"/>
    <x v="1"/>
    <x v="0"/>
    <x v="0"/>
    <x v="0"/>
    <n v="26.67"/>
    <n v="10"/>
    <n v="13.335000000000001"/>
    <x v="531"/>
    <x v="38"/>
    <x v="316"/>
    <x v="0"/>
    <n v="266.7"/>
    <n v="4.7619047620000003"/>
    <n v="13.335000000000001"/>
    <n v="8.6"/>
  </r>
  <r>
    <s v="323-38-4658"/>
    <x v="0"/>
    <x v="1"/>
    <x v="0"/>
    <x v="0"/>
    <x v="2"/>
    <n v="26.67"/>
    <n v="10"/>
    <n v="13.335000000000001"/>
    <x v="531"/>
    <x v="38"/>
    <x v="316"/>
    <x v="0"/>
    <n v="266.7"/>
    <n v="4.7619047620000003"/>
    <n v="13.335000000000001"/>
    <n v="8.6"/>
  </r>
  <r>
    <s v="986-65-5272"/>
    <x v="2"/>
    <x v="1"/>
    <x v="0"/>
    <x v="0"/>
    <x v="0"/>
    <n v="26.67"/>
    <n v="10"/>
    <n v="13.335000000000001"/>
    <x v="531"/>
    <x v="38"/>
    <x v="316"/>
    <x v="0"/>
    <n v="266.7"/>
    <n v="4.7619047620000003"/>
    <n v="13.335000000000001"/>
    <n v="9.9"/>
  </r>
  <r>
    <s v="596-31-2815"/>
    <x v="2"/>
    <x v="1"/>
    <x v="1"/>
    <x v="0"/>
    <x v="0"/>
    <n v="44.63"/>
    <n v="6"/>
    <n v="13.388999999999999"/>
    <x v="532"/>
    <x v="44"/>
    <x v="363"/>
    <x v="2"/>
    <n v="267.77999999999997"/>
    <n v="4.7619047620000003"/>
    <n v="13.388999999999999"/>
    <n v="5.0999999999999996"/>
  </r>
  <r>
    <s v="670-71-7306"/>
    <x v="2"/>
    <x v="1"/>
    <x v="1"/>
    <x v="0"/>
    <x v="0"/>
    <n v="44.63"/>
    <n v="6"/>
    <n v="13.388999999999999"/>
    <x v="532"/>
    <x v="44"/>
    <x v="363"/>
    <x v="0"/>
    <n v="267.77999999999997"/>
    <n v="4.7619047620000003"/>
    <n v="13.388999999999999"/>
    <n v="5.0999999999999996"/>
  </r>
  <r>
    <s v="241-69-7458"/>
    <x v="2"/>
    <x v="1"/>
    <x v="1"/>
    <x v="0"/>
    <x v="0"/>
    <n v="44.63"/>
    <n v="6"/>
    <n v="13.388999999999999"/>
    <x v="532"/>
    <x v="44"/>
    <x v="363"/>
    <x v="2"/>
    <n v="267.77999999999997"/>
    <n v="4.7619047620000003"/>
    <n v="13.388999999999999"/>
    <n v="10"/>
  </r>
  <r>
    <s v="379-22-3182"/>
    <x v="2"/>
    <x v="0"/>
    <x v="1"/>
    <x v="0"/>
    <x v="0"/>
    <n v="44.63"/>
    <n v="6"/>
    <n v="13.388999999999999"/>
    <x v="532"/>
    <x v="44"/>
    <x v="363"/>
    <x v="0"/>
    <n v="267.77999999999997"/>
    <n v="4.7619047620000003"/>
    <n v="13.388999999999999"/>
    <n v="10.1"/>
  </r>
  <r>
    <s v="543-74-4659"/>
    <x v="1"/>
    <x v="2"/>
    <x v="0"/>
    <x v="0"/>
    <x v="0"/>
    <n v="67.260000000000005"/>
    <n v="4"/>
    <n v="13.452"/>
    <x v="533"/>
    <x v="35"/>
    <x v="364"/>
    <x v="2"/>
    <n v="269.04000000000002"/>
    <n v="4.7619047620000003"/>
    <n v="13.452"/>
    <n v="8"/>
  </r>
  <r>
    <s v="882-40-4577"/>
    <x v="0"/>
    <x v="1"/>
    <x v="0"/>
    <x v="0"/>
    <x v="2"/>
    <n v="67.260000000000005"/>
    <n v="4"/>
    <n v="13.452"/>
    <x v="533"/>
    <x v="35"/>
    <x v="364"/>
    <x v="2"/>
    <n v="269.04000000000002"/>
    <n v="4.7619047620000003"/>
    <n v="13.452"/>
    <n v="8"/>
  </r>
  <r>
    <s v="556-41-6224"/>
    <x v="0"/>
    <x v="0"/>
    <x v="1"/>
    <x v="0"/>
    <x v="4"/>
    <n v="33.64"/>
    <n v="8"/>
    <n v="13.456"/>
    <x v="534"/>
    <x v="74"/>
    <x v="365"/>
    <x v="2"/>
    <n v="269.12"/>
    <n v="4.7619047620000003"/>
    <n v="13.456"/>
    <n v="9.3000000000000007"/>
  </r>
  <r>
    <s v="597-78-7908"/>
    <x v="0"/>
    <x v="0"/>
    <x v="1"/>
    <x v="0"/>
    <x v="1"/>
    <n v="90.22"/>
    <n v="3"/>
    <n v="13.532999999999999"/>
    <x v="535"/>
    <x v="24"/>
    <x v="217"/>
    <x v="0"/>
    <n v="270.66000000000003"/>
    <n v="4.7619047620000003"/>
    <n v="13.532999999999999"/>
    <n v="6.2"/>
  </r>
  <r>
    <s v="563-98-3331"/>
    <x v="0"/>
    <x v="0"/>
    <x v="1"/>
    <x v="0"/>
    <x v="1"/>
    <n v="90.22"/>
    <n v="3"/>
    <n v="13.532999999999999"/>
    <x v="535"/>
    <x v="24"/>
    <x v="217"/>
    <x v="0"/>
    <n v="270.66000000000003"/>
    <n v="4.7619047620000003"/>
    <n v="13.532999999999999"/>
    <n v="10.199999999999999"/>
  </r>
  <r>
    <s v="782-33-1320"/>
    <x v="1"/>
    <x v="2"/>
    <x v="1"/>
    <x v="0"/>
    <x v="2"/>
    <n v="33.880000000000003"/>
    <n v="8"/>
    <n v="13.552"/>
    <x v="536"/>
    <x v="35"/>
    <x v="89"/>
    <x v="1"/>
    <n v="271.04000000000002"/>
    <n v="4.7619047620000003"/>
    <n v="13.552"/>
    <n v="9.6"/>
  </r>
  <r>
    <s v="832-51-6761"/>
    <x v="1"/>
    <x v="1"/>
    <x v="1"/>
    <x v="0"/>
    <x v="2"/>
    <n v="33.880000000000003"/>
    <n v="8"/>
    <n v="13.552"/>
    <x v="536"/>
    <x v="35"/>
    <x v="89"/>
    <x v="0"/>
    <n v="271.04000000000002"/>
    <n v="4.7619047620000003"/>
    <n v="13.552"/>
    <n v="9.6"/>
  </r>
  <r>
    <s v="316-01-3952"/>
    <x v="0"/>
    <x v="2"/>
    <x v="1"/>
    <x v="1"/>
    <x v="2"/>
    <n v="54.27"/>
    <n v="5"/>
    <n v="13.567500000000001"/>
    <x v="537"/>
    <x v="57"/>
    <x v="345"/>
    <x v="0"/>
    <n v="271.35000000000002"/>
    <n v="4.7619047620000003"/>
    <n v="13.567500000000001"/>
    <n v="4.5999999999999996"/>
  </r>
  <r>
    <s v="752-69-9362"/>
    <x v="1"/>
    <x v="1"/>
    <x v="1"/>
    <x v="1"/>
    <x v="2"/>
    <n v="54.27"/>
    <n v="5"/>
    <n v="13.567500000000001"/>
    <x v="537"/>
    <x v="57"/>
    <x v="345"/>
    <x v="1"/>
    <n v="271.35000000000002"/>
    <n v="4.7619047620000003"/>
    <n v="13.567500000000001"/>
    <n v="4.5999999999999996"/>
  </r>
  <r>
    <s v="287-42-7998"/>
    <x v="0"/>
    <x v="2"/>
    <x v="1"/>
    <x v="1"/>
    <x v="2"/>
    <n v="54.27"/>
    <n v="5"/>
    <n v="13.567500000000001"/>
    <x v="537"/>
    <x v="57"/>
    <x v="345"/>
    <x v="0"/>
    <n v="271.35000000000002"/>
    <n v="4.7619047620000003"/>
    <n v="13.567500000000001"/>
    <n v="4.5999999999999996"/>
  </r>
  <r>
    <s v="146-53-1602"/>
    <x v="2"/>
    <x v="1"/>
    <x v="1"/>
    <x v="0"/>
    <x v="5"/>
    <n v="45.35"/>
    <n v="6"/>
    <n v="13.605"/>
    <x v="538"/>
    <x v="63"/>
    <x v="216"/>
    <x v="1"/>
    <n v="272.10000000000002"/>
    <n v="4.7619047620000003"/>
    <n v="13.605"/>
    <n v="6.1"/>
  </r>
  <r>
    <s v="239-36-3640"/>
    <x v="2"/>
    <x v="1"/>
    <x v="1"/>
    <x v="0"/>
    <x v="5"/>
    <n v="45.35"/>
    <n v="6"/>
    <n v="13.605"/>
    <x v="538"/>
    <x v="63"/>
    <x v="216"/>
    <x v="1"/>
    <n v="272.10000000000002"/>
    <n v="4.7619047620000003"/>
    <n v="13.605"/>
    <n v="6.1"/>
  </r>
  <r>
    <s v="400-80-4065"/>
    <x v="0"/>
    <x v="1"/>
    <x v="0"/>
    <x v="0"/>
    <x v="4"/>
    <n v="68.55"/>
    <n v="4"/>
    <n v="13.71"/>
    <x v="539"/>
    <x v="74"/>
    <x v="235"/>
    <x v="0"/>
    <n v="274.2"/>
    <n v="4.7619047620000003"/>
    <n v="13.71"/>
    <n v="9.1999999999999993"/>
  </r>
  <r>
    <s v="631-43-5062"/>
    <x v="0"/>
    <x v="1"/>
    <x v="0"/>
    <x v="0"/>
    <x v="4"/>
    <n v="68.55"/>
    <n v="4"/>
    <n v="13.71"/>
    <x v="539"/>
    <x v="74"/>
    <x v="235"/>
    <x v="0"/>
    <n v="274.2"/>
    <n v="4.7619047620000003"/>
    <n v="13.71"/>
    <n v="9.1999999999999993"/>
  </r>
  <r>
    <s v="425-85-2085"/>
    <x v="0"/>
    <x v="1"/>
    <x v="0"/>
    <x v="0"/>
    <x v="4"/>
    <n v="54.86"/>
    <n v="5"/>
    <n v="13.715"/>
    <x v="540"/>
    <x v="86"/>
    <x v="366"/>
    <x v="0"/>
    <n v="274.3"/>
    <n v="4.7619047620000003"/>
    <n v="13.715"/>
    <n v="9.8000000000000007"/>
  </r>
  <r>
    <s v="263-23-1729"/>
    <x v="0"/>
    <x v="1"/>
    <x v="0"/>
    <x v="0"/>
    <x v="4"/>
    <n v="54.86"/>
    <n v="5"/>
    <n v="13.715"/>
    <x v="540"/>
    <x v="86"/>
    <x v="366"/>
    <x v="0"/>
    <n v="274.3"/>
    <n v="4.7619047620000003"/>
    <n v="13.715"/>
    <n v="9.8000000000000007"/>
  </r>
  <r>
    <s v="824-88-3614"/>
    <x v="0"/>
    <x v="0"/>
    <x v="1"/>
    <x v="0"/>
    <x v="4"/>
    <n v="34.31"/>
    <n v="8"/>
    <n v="13.724"/>
    <x v="541"/>
    <x v="6"/>
    <x v="367"/>
    <x v="1"/>
    <n v="274.48"/>
    <n v="4.7619047620000003"/>
    <n v="13.724"/>
    <n v="5.7"/>
  </r>
  <r>
    <s v="535-55-6763"/>
    <x v="2"/>
    <x v="1"/>
    <x v="0"/>
    <x v="0"/>
    <x v="1"/>
    <n v="68.709999999999994"/>
    <n v="4"/>
    <n v="13.742000000000001"/>
    <x v="542"/>
    <x v="72"/>
    <x v="253"/>
    <x v="0"/>
    <n v="274.83999999999997"/>
    <n v="4.7619047620000003"/>
    <n v="13.742000000000001"/>
    <n v="4.0999999999999996"/>
  </r>
  <r>
    <s v="725-32-9708"/>
    <x v="0"/>
    <x v="1"/>
    <x v="0"/>
    <x v="1"/>
    <x v="1"/>
    <n v="68.709999999999994"/>
    <n v="4"/>
    <n v="13.742000000000001"/>
    <x v="542"/>
    <x v="72"/>
    <x v="253"/>
    <x v="0"/>
    <n v="274.83999999999997"/>
    <n v="4.7619047620000003"/>
    <n v="13.742000000000001"/>
    <n v="4.0999999999999996"/>
  </r>
  <r>
    <s v="430-02-3888"/>
    <x v="2"/>
    <x v="1"/>
    <x v="1"/>
    <x v="0"/>
    <x v="5"/>
    <n v="46.02"/>
    <n v="6"/>
    <n v="13.805999999999999"/>
    <x v="543"/>
    <x v="0"/>
    <x v="368"/>
    <x v="0"/>
    <n v="276.12"/>
    <n v="4.7619047620000003"/>
    <n v="13.805999999999999"/>
    <n v="7.1"/>
  </r>
  <r>
    <s v="466-11-5432"/>
    <x v="2"/>
    <x v="1"/>
    <x v="1"/>
    <x v="0"/>
    <x v="5"/>
    <n v="46.02"/>
    <n v="6"/>
    <n v="13.805999999999999"/>
    <x v="543"/>
    <x v="0"/>
    <x v="368"/>
    <x v="0"/>
    <n v="276.12"/>
    <n v="4.7619047620000003"/>
    <n v="13.805999999999999"/>
    <n v="7.1"/>
  </r>
  <r>
    <s v="338-59-5419"/>
    <x v="0"/>
    <x v="1"/>
    <x v="1"/>
    <x v="0"/>
    <x v="5"/>
    <n v="46.02"/>
    <n v="6"/>
    <n v="13.805999999999999"/>
    <x v="543"/>
    <x v="0"/>
    <x v="368"/>
    <x v="0"/>
    <n v="276.12"/>
    <n v="4.7619047620000003"/>
    <n v="13.805999999999999"/>
    <n v="7.1"/>
  </r>
  <r>
    <s v="131-70-8179"/>
    <x v="1"/>
    <x v="2"/>
    <x v="0"/>
    <x v="1"/>
    <x v="4"/>
    <n v="92.09"/>
    <n v="3"/>
    <n v="13.813499999999999"/>
    <x v="544"/>
    <x v="58"/>
    <x v="369"/>
    <x v="0"/>
    <n v="276.27"/>
    <n v="4.7619047620000003"/>
    <n v="13.813499999999999"/>
    <n v="4.2"/>
  </r>
  <r>
    <s v="235-46-8343"/>
    <x v="0"/>
    <x v="0"/>
    <x v="0"/>
    <x v="0"/>
    <x v="2"/>
    <n v="27.66"/>
    <n v="10"/>
    <n v="13.83"/>
    <x v="545"/>
    <x v="83"/>
    <x v="48"/>
    <x v="2"/>
    <n v="276.60000000000002"/>
    <n v="4.7619047620000003"/>
    <n v="13.83"/>
    <n v="8.9"/>
  </r>
  <r>
    <s v="660-79-8764"/>
    <x v="0"/>
    <x v="0"/>
    <x v="0"/>
    <x v="0"/>
    <x v="2"/>
    <n v="27.66"/>
    <n v="10"/>
    <n v="13.83"/>
    <x v="545"/>
    <x v="83"/>
    <x v="48"/>
    <x v="2"/>
    <n v="276.60000000000002"/>
    <n v="4.7619047620000003"/>
    <n v="13.83"/>
    <n v="8.9"/>
  </r>
  <r>
    <s v="578-67-5273"/>
    <x v="0"/>
    <x v="0"/>
    <x v="0"/>
    <x v="0"/>
    <x v="2"/>
    <n v="27.66"/>
    <n v="10"/>
    <n v="13.83"/>
    <x v="545"/>
    <x v="83"/>
    <x v="48"/>
    <x v="2"/>
    <n v="276.60000000000002"/>
    <n v="4.7619047620000003"/>
    <n v="13.83"/>
    <n v="10.3"/>
  </r>
  <r>
    <s v="191-10-6171"/>
    <x v="2"/>
    <x v="1"/>
    <x v="1"/>
    <x v="0"/>
    <x v="1"/>
    <n v="39.619999999999997"/>
    <n v="7"/>
    <n v="13.867000000000001"/>
    <x v="546"/>
    <x v="6"/>
    <x v="370"/>
    <x v="0"/>
    <n v="277.33999999999997"/>
    <n v="4.7619047620000003"/>
    <n v="13.867000000000001"/>
    <n v="7.5"/>
  </r>
  <r>
    <s v="458-41-1477"/>
    <x v="0"/>
    <x v="0"/>
    <x v="1"/>
    <x v="0"/>
    <x v="4"/>
    <n v="46.26"/>
    <n v="6"/>
    <n v="13.878"/>
    <x v="547"/>
    <x v="66"/>
    <x v="371"/>
    <x v="2"/>
    <n v="277.56"/>
    <n v="4.7619047620000003"/>
    <n v="13.878"/>
    <n v="9.5"/>
  </r>
  <r>
    <s v="302-15-2162"/>
    <x v="0"/>
    <x v="0"/>
    <x v="0"/>
    <x v="0"/>
    <x v="4"/>
    <n v="46.53"/>
    <n v="6"/>
    <n v="13.959"/>
    <x v="548"/>
    <x v="18"/>
    <x v="278"/>
    <x v="0"/>
    <n v="279.18"/>
    <n v="4.7619047620000003"/>
    <n v="13.959"/>
    <n v="4.3"/>
  </r>
  <r>
    <s v="220-87-8324"/>
    <x v="1"/>
    <x v="0"/>
    <x v="0"/>
    <x v="0"/>
    <x v="4"/>
    <n v="46.53"/>
    <n v="6"/>
    <n v="13.959"/>
    <x v="548"/>
    <x v="18"/>
    <x v="278"/>
    <x v="0"/>
    <n v="279.18"/>
    <n v="4.7619047620000003"/>
    <n v="13.959"/>
    <n v="4.3"/>
  </r>
  <r>
    <s v="593-65-1552"/>
    <x v="0"/>
    <x v="0"/>
    <x v="1"/>
    <x v="0"/>
    <x v="3"/>
    <n v="69.81"/>
    <n v="4"/>
    <n v="13.962"/>
    <x v="549"/>
    <x v="12"/>
    <x v="372"/>
    <x v="2"/>
    <n v="279.24"/>
    <n v="4.7619047620000003"/>
    <n v="13.962"/>
    <n v="5.9"/>
  </r>
  <r>
    <s v="781-13-4209"/>
    <x v="2"/>
    <x v="1"/>
    <x v="0"/>
    <x v="0"/>
    <x v="1"/>
    <n v="93.22"/>
    <n v="3"/>
    <n v="13.983000000000001"/>
    <x v="550"/>
    <x v="61"/>
    <x v="373"/>
    <x v="0"/>
    <n v="279.66000000000003"/>
    <n v="4.7619047620000003"/>
    <n v="13.983000000000001"/>
    <n v="7.2"/>
  </r>
  <r>
    <s v="789-23-8625"/>
    <x v="0"/>
    <x v="1"/>
    <x v="0"/>
    <x v="0"/>
    <x v="1"/>
    <n v="93.22"/>
    <n v="3"/>
    <n v="13.983000000000001"/>
    <x v="550"/>
    <x v="61"/>
    <x v="373"/>
    <x v="0"/>
    <n v="279.66000000000003"/>
    <n v="4.7619047620000003"/>
    <n v="13.983000000000001"/>
    <n v="7.2"/>
  </r>
  <r>
    <s v="689-16-9784"/>
    <x v="0"/>
    <x v="1"/>
    <x v="1"/>
    <x v="0"/>
    <x v="2"/>
    <n v="46.77"/>
    <n v="6"/>
    <n v="14.031000000000001"/>
    <x v="551"/>
    <x v="79"/>
    <x v="274"/>
    <x v="0"/>
    <n v="280.62"/>
    <n v="4.7619047620000003"/>
    <n v="14.031000000000001"/>
    <n v="6"/>
  </r>
  <r>
    <s v="702-45-2306"/>
    <x v="0"/>
    <x v="0"/>
    <x v="1"/>
    <x v="0"/>
    <x v="2"/>
    <n v="46.77"/>
    <n v="6"/>
    <n v="14.031000000000001"/>
    <x v="551"/>
    <x v="79"/>
    <x v="274"/>
    <x v="0"/>
    <n v="280.62"/>
    <n v="4.7619047620000003"/>
    <n v="14.031000000000001"/>
    <n v="6"/>
  </r>
  <r>
    <s v="479-32-1520"/>
    <x v="1"/>
    <x v="2"/>
    <x v="0"/>
    <x v="0"/>
    <x v="5"/>
    <n v="93.78"/>
    <n v="3"/>
    <n v="14.067"/>
    <x v="552"/>
    <x v="15"/>
    <x v="40"/>
    <x v="2"/>
    <n v="281.33999999999997"/>
    <n v="4.7619047620000003"/>
    <n v="14.067"/>
    <n v="5.9"/>
  </r>
  <r>
    <s v="804-38-3935"/>
    <x v="1"/>
    <x v="1"/>
    <x v="0"/>
    <x v="0"/>
    <x v="5"/>
    <n v="93.78"/>
    <n v="3"/>
    <n v="14.067"/>
    <x v="552"/>
    <x v="15"/>
    <x v="40"/>
    <x v="0"/>
    <n v="281.33999999999997"/>
    <n v="4.7619047620000003"/>
    <n v="14.067"/>
    <n v="5.9"/>
  </r>
  <r>
    <s v="286-01-5402"/>
    <x v="1"/>
    <x v="1"/>
    <x v="1"/>
    <x v="1"/>
    <x v="0"/>
    <n v="40.229999999999997"/>
    <n v="7"/>
    <n v="14.080500000000001"/>
    <x v="553"/>
    <x v="80"/>
    <x v="37"/>
    <x v="0"/>
    <n v="281.61"/>
    <n v="4.7619047620000003"/>
    <n v="14.080500000000001"/>
    <n v="9.6"/>
  </r>
  <r>
    <s v="278-59-6959"/>
    <x v="1"/>
    <x v="1"/>
    <x v="1"/>
    <x v="1"/>
    <x v="2"/>
    <n v="40.229999999999997"/>
    <n v="7"/>
    <n v="14.080500000000001"/>
    <x v="553"/>
    <x v="80"/>
    <x v="37"/>
    <x v="1"/>
    <n v="281.61"/>
    <n v="4.7619047620000003"/>
    <n v="14.080500000000001"/>
    <n v="9.6"/>
  </r>
  <r>
    <s v="886-18-2897"/>
    <x v="1"/>
    <x v="1"/>
    <x v="1"/>
    <x v="1"/>
    <x v="2"/>
    <n v="56.56"/>
    <n v="5"/>
    <n v="14.14"/>
    <x v="554"/>
    <x v="10"/>
    <x v="374"/>
    <x v="0"/>
    <n v="282.8"/>
    <n v="4.7619047620000003"/>
    <n v="14.14"/>
    <n v="4.5"/>
  </r>
  <r>
    <s v="965-20-3152"/>
    <x v="1"/>
    <x v="1"/>
    <x v="1"/>
    <x v="0"/>
    <x v="2"/>
    <n v="56.56"/>
    <n v="5"/>
    <n v="14.14"/>
    <x v="554"/>
    <x v="10"/>
    <x v="374"/>
    <x v="2"/>
    <n v="282.8"/>
    <n v="4.7619047620000003"/>
    <n v="14.14"/>
    <n v="4.5"/>
  </r>
  <r>
    <s v="144-51-6085"/>
    <x v="1"/>
    <x v="1"/>
    <x v="0"/>
    <x v="0"/>
    <x v="3"/>
    <n v="70.739999999999995"/>
    <n v="4"/>
    <n v="14.148"/>
    <x v="555"/>
    <x v="32"/>
    <x v="375"/>
    <x v="2"/>
    <n v="282.95999999999998"/>
    <n v="4.7619047620000003"/>
    <n v="14.148"/>
    <n v="4.4000000000000004"/>
  </r>
  <r>
    <s v="409-49-6995"/>
    <x v="0"/>
    <x v="1"/>
    <x v="0"/>
    <x v="1"/>
    <x v="2"/>
    <n v="47.27"/>
    <n v="6"/>
    <n v="14.180999999999999"/>
    <x v="556"/>
    <x v="28"/>
    <x v="182"/>
    <x v="0"/>
    <n v="283.62"/>
    <n v="4.7619047620000003"/>
    <n v="14.180999999999999"/>
    <n v="8.8000000000000007"/>
  </r>
  <r>
    <s v="547-25-2096"/>
    <x v="0"/>
    <x v="0"/>
    <x v="0"/>
    <x v="0"/>
    <x v="2"/>
    <n v="47.27"/>
    <n v="6"/>
    <n v="14.180999999999999"/>
    <x v="556"/>
    <x v="28"/>
    <x v="182"/>
    <x v="0"/>
    <n v="283.62"/>
    <n v="4.7619047620000003"/>
    <n v="14.180999999999999"/>
    <n v="8.8000000000000007"/>
  </r>
  <r>
    <s v="379-27-3198"/>
    <x v="0"/>
    <x v="1"/>
    <x v="0"/>
    <x v="0"/>
    <x v="2"/>
    <n v="47.27"/>
    <n v="6"/>
    <n v="14.180999999999999"/>
    <x v="556"/>
    <x v="28"/>
    <x v="182"/>
    <x v="0"/>
    <n v="283.62"/>
    <n v="4.7619047620000003"/>
    <n v="14.180999999999999"/>
    <n v="8.8000000000000007"/>
  </r>
  <r>
    <s v="319-74-2561"/>
    <x v="1"/>
    <x v="2"/>
    <x v="0"/>
    <x v="0"/>
    <x v="5"/>
    <n v="94.64"/>
    <n v="3"/>
    <n v="14.196"/>
    <x v="557"/>
    <x v="2"/>
    <x v="376"/>
    <x v="0"/>
    <n v="283.92"/>
    <n v="4.7619047620000003"/>
    <n v="14.196"/>
    <n v="5.5"/>
  </r>
  <r>
    <s v="859-77-9459"/>
    <x v="1"/>
    <x v="1"/>
    <x v="0"/>
    <x v="0"/>
    <x v="2"/>
    <n v="94.64"/>
    <n v="3"/>
    <n v="14.196"/>
    <x v="557"/>
    <x v="2"/>
    <x v="376"/>
    <x v="0"/>
    <n v="283.92"/>
    <n v="4.7619047620000003"/>
    <n v="14.196"/>
    <n v="5.5"/>
  </r>
  <r>
    <s v="675-89-2846"/>
    <x v="1"/>
    <x v="2"/>
    <x v="0"/>
    <x v="0"/>
    <x v="5"/>
    <n v="94.64"/>
    <n v="3"/>
    <n v="14.196"/>
    <x v="557"/>
    <x v="2"/>
    <x v="376"/>
    <x v="0"/>
    <n v="283.92"/>
    <n v="4.7619047620000003"/>
    <n v="14.196"/>
    <n v="5.5"/>
  </r>
  <r>
    <s v="427-45-9297"/>
    <x v="2"/>
    <x v="1"/>
    <x v="0"/>
    <x v="1"/>
    <x v="3"/>
    <n v="40.729999999999997"/>
    <n v="7"/>
    <n v="14.2555"/>
    <x v="558"/>
    <x v="31"/>
    <x v="377"/>
    <x v="0"/>
    <n v="285.11"/>
    <n v="4.7619047620000003"/>
    <n v="14.2555"/>
    <n v="5.4"/>
  </r>
  <r>
    <s v="518-87-1181"/>
    <x v="0"/>
    <x v="1"/>
    <x v="0"/>
    <x v="0"/>
    <x v="3"/>
    <n v="40.729999999999997"/>
    <n v="7"/>
    <n v="14.2555"/>
    <x v="558"/>
    <x v="31"/>
    <x v="377"/>
    <x v="0"/>
    <n v="285.11"/>
    <n v="4.7619047620000003"/>
    <n v="14.2555"/>
    <n v="5.4"/>
  </r>
  <r>
    <s v="263-87-5680"/>
    <x v="0"/>
    <x v="0"/>
    <x v="0"/>
    <x v="0"/>
    <x v="3"/>
    <n v="28.53"/>
    <n v="10"/>
    <n v="14.265000000000001"/>
    <x v="559"/>
    <x v="50"/>
    <x v="86"/>
    <x v="1"/>
    <n v="285.3"/>
    <n v="4.7619047620000003"/>
    <n v="14.265000000000001"/>
    <n v="7.8"/>
  </r>
  <r>
    <s v="189-08-9157"/>
    <x v="0"/>
    <x v="0"/>
    <x v="1"/>
    <x v="0"/>
    <x v="1"/>
    <n v="31.73"/>
    <n v="9"/>
    <n v="14.278499999999999"/>
    <x v="560"/>
    <x v="3"/>
    <x v="378"/>
    <x v="2"/>
    <n v="285.57"/>
    <n v="4.7619047620000003"/>
    <n v="14.278499999999999"/>
    <n v="5.9"/>
  </r>
  <r>
    <s v="574-30-6582"/>
    <x v="2"/>
    <x v="1"/>
    <x v="0"/>
    <x v="0"/>
    <x v="5"/>
    <n v="35.74"/>
    <n v="8"/>
    <n v="14.295999999999999"/>
    <x v="561"/>
    <x v="58"/>
    <x v="364"/>
    <x v="1"/>
    <n v="285.92"/>
    <n v="4.7619047620000003"/>
    <n v="14.295999999999999"/>
    <n v="4.9000000000000004"/>
  </r>
  <r>
    <s v="785-96-0615"/>
    <x v="2"/>
    <x v="1"/>
    <x v="0"/>
    <x v="1"/>
    <x v="5"/>
    <n v="35.74"/>
    <n v="8"/>
    <n v="14.295999999999999"/>
    <x v="561"/>
    <x v="58"/>
    <x v="364"/>
    <x v="1"/>
    <n v="285.92"/>
    <n v="4.7619047620000003"/>
    <n v="14.295999999999999"/>
    <n v="4.9000000000000004"/>
  </r>
  <r>
    <s v="408-66-6712"/>
    <x v="0"/>
    <x v="0"/>
    <x v="0"/>
    <x v="1"/>
    <x v="4"/>
    <n v="47.71"/>
    <n v="6"/>
    <n v="14.313000000000001"/>
    <x v="562"/>
    <x v="59"/>
    <x v="267"/>
    <x v="0"/>
    <n v="286.26"/>
    <n v="4.7619047620000003"/>
    <n v="14.313000000000001"/>
    <n v="4.4000000000000004"/>
  </r>
  <r>
    <s v="912-43-6198"/>
    <x v="0"/>
    <x v="0"/>
    <x v="0"/>
    <x v="0"/>
    <x v="4"/>
    <n v="47.71"/>
    <n v="6"/>
    <n v="14.313000000000001"/>
    <x v="562"/>
    <x v="59"/>
    <x v="267"/>
    <x v="0"/>
    <n v="286.26"/>
    <n v="4.7619047620000003"/>
    <n v="14.313000000000001"/>
    <n v="4.4000000000000004"/>
  </r>
  <r>
    <s v="847-38-7188"/>
    <x v="2"/>
    <x v="1"/>
    <x v="1"/>
    <x v="0"/>
    <x v="2"/>
    <n v="96.68"/>
    <n v="3"/>
    <n v="14.502000000000001"/>
    <x v="563"/>
    <x v="1"/>
    <x v="379"/>
    <x v="1"/>
    <n v="290.04000000000002"/>
    <n v="4.7619047620000003"/>
    <n v="14.502000000000001"/>
    <n v="6.4"/>
  </r>
  <r>
    <s v="884-67-1216"/>
    <x v="2"/>
    <x v="1"/>
    <x v="1"/>
    <x v="1"/>
    <x v="2"/>
    <n v="96.68"/>
    <n v="3"/>
    <n v="14.502000000000001"/>
    <x v="563"/>
    <x v="1"/>
    <x v="379"/>
    <x v="1"/>
    <n v="290.04000000000002"/>
    <n v="4.7619047620000003"/>
    <n v="14.502000000000001"/>
    <n v="6.4"/>
  </r>
  <r>
    <s v="585-11-6748"/>
    <x v="0"/>
    <x v="1"/>
    <x v="0"/>
    <x v="0"/>
    <x v="0"/>
    <n v="96.8"/>
    <n v="3"/>
    <n v="14.52"/>
    <x v="564"/>
    <x v="54"/>
    <x v="295"/>
    <x v="0"/>
    <n v="290.39999999999998"/>
    <n v="4.7619047620000003"/>
    <n v="14.52"/>
    <n v="5.3"/>
  </r>
  <r>
    <s v="902-56-1487"/>
    <x v="2"/>
    <x v="1"/>
    <x v="0"/>
    <x v="0"/>
    <x v="2"/>
    <n v="96.8"/>
    <n v="3"/>
    <n v="14.52"/>
    <x v="564"/>
    <x v="54"/>
    <x v="295"/>
    <x v="0"/>
    <n v="290.39999999999998"/>
    <n v="4.7619047620000003"/>
    <n v="14.52"/>
    <n v="5.3"/>
  </r>
  <r>
    <s v="364-34-2972"/>
    <x v="0"/>
    <x v="0"/>
    <x v="0"/>
    <x v="0"/>
    <x v="5"/>
    <n v="96.82"/>
    <n v="3"/>
    <n v="14.523"/>
    <x v="565"/>
    <x v="80"/>
    <x v="220"/>
    <x v="0"/>
    <n v="290.45999999999998"/>
    <n v="4.7619047620000003"/>
    <n v="14.523"/>
    <n v="6.7"/>
  </r>
  <r>
    <s v="914-87-6323"/>
    <x v="0"/>
    <x v="1"/>
    <x v="0"/>
    <x v="0"/>
    <x v="2"/>
    <n v="96.82"/>
    <n v="3"/>
    <n v="14.523"/>
    <x v="565"/>
    <x v="80"/>
    <x v="220"/>
    <x v="0"/>
    <n v="290.45999999999998"/>
    <n v="4.7619047620000003"/>
    <n v="14.523"/>
    <n v="6.7"/>
  </r>
  <r>
    <s v="598-62-5535"/>
    <x v="0"/>
    <x v="0"/>
    <x v="0"/>
    <x v="0"/>
    <x v="2"/>
    <n v="96.82"/>
    <n v="3"/>
    <n v="14.523"/>
    <x v="565"/>
    <x v="80"/>
    <x v="220"/>
    <x v="0"/>
    <n v="290.45999999999998"/>
    <n v="4.7619047620000003"/>
    <n v="14.523"/>
    <n v="6.7"/>
  </r>
  <r>
    <s v="130-67-4723"/>
    <x v="0"/>
    <x v="2"/>
    <x v="0"/>
    <x v="0"/>
    <x v="2"/>
    <n v="48.5"/>
    <n v="6"/>
    <n v="14.55"/>
    <x v="566"/>
    <x v="68"/>
    <x v="210"/>
    <x v="1"/>
    <n v="291"/>
    <n v="4.7619047620000003"/>
    <n v="14.55"/>
    <n v="9.4"/>
  </r>
  <r>
    <s v="220-23-9955"/>
    <x v="1"/>
    <x v="2"/>
    <x v="0"/>
    <x v="0"/>
    <x v="2"/>
    <n v="48.5"/>
    <n v="6"/>
    <n v="14.55"/>
    <x v="566"/>
    <x v="68"/>
    <x v="210"/>
    <x v="1"/>
    <n v="291"/>
    <n v="4.7619047620000003"/>
    <n v="14.55"/>
    <n v="9.4"/>
  </r>
  <r>
    <s v="308-81-0538"/>
    <x v="0"/>
    <x v="2"/>
    <x v="1"/>
    <x v="1"/>
    <x v="1"/>
    <n v="73.05"/>
    <n v="4"/>
    <n v="14.61"/>
    <x v="567"/>
    <x v="42"/>
    <x v="149"/>
    <x v="0"/>
    <n v="292.2"/>
    <n v="4.7619047620000003"/>
    <n v="14.61"/>
    <n v="4.9000000000000004"/>
  </r>
  <r>
    <s v="373-88-5578"/>
    <x v="1"/>
    <x v="2"/>
    <x v="1"/>
    <x v="0"/>
    <x v="1"/>
    <n v="73.05"/>
    <n v="4"/>
    <n v="14.61"/>
    <x v="567"/>
    <x v="42"/>
    <x v="149"/>
    <x v="0"/>
    <n v="292.2"/>
    <n v="4.7619047620000003"/>
    <n v="14.61"/>
    <n v="4.9000000000000004"/>
  </r>
  <r>
    <s v="822-87-5272"/>
    <x v="0"/>
    <x v="2"/>
    <x v="1"/>
    <x v="1"/>
    <x v="1"/>
    <n v="73.05"/>
    <n v="4"/>
    <n v="14.61"/>
    <x v="567"/>
    <x v="42"/>
    <x v="149"/>
    <x v="0"/>
    <n v="292.2"/>
    <n v="4.7619047620000003"/>
    <n v="14.61"/>
    <n v="4.9000000000000004"/>
  </r>
  <r>
    <s v="528-21-8882"/>
    <x v="0"/>
    <x v="2"/>
    <x v="1"/>
    <x v="0"/>
    <x v="2"/>
    <n v="73.05"/>
    <n v="4"/>
    <n v="14.61"/>
    <x v="567"/>
    <x v="42"/>
    <x v="149"/>
    <x v="0"/>
    <n v="292.2"/>
    <n v="4.7619047620000003"/>
    <n v="14.61"/>
    <n v="4.9000000000000004"/>
  </r>
  <r>
    <s v="274-05-5470"/>
    <x v="0"/>
    <x v="2"/>
    <x v="0"/>
    <x v="1"/>
    <x v="2"/>
    <n v="73.47"/>
    <n v="4"/>
    <n v="14.694000000000001"/>
    <x v="568"/>
    <x v="36"/>
    <x v="353"/>
    <x v="0"/>
    <n v="293.88"/>
    <n v="4.7619047620000003"/>
    <n v="14.694000000000001"/>
    <n v="6"/>
  </r>
  <r>
    <s v="641-49-3988"/>
    <x v="1"/>
    <x v="2"/>
    <x v="0"/>
    <x v="1"/>
    <x v="2"/>
    <n v="73.47"/>
    <n v="4"/>
    <n v="14.694000000000001"/>
    <x v="568"/>
    <x v="36"/>
    <x v="353"/>
    <x v="0"/>
    <n v="293.88"/>
    <n v="4.7619047620000003"/>
    <n v="14.694000000000001"/>
    <n v="6"/>
  </r>
  <r>
    <s v="160-91-8459"/>
    <x v="1"/>
    <x v="1"/>
    <x v="0"/>
    <x v="1"/>
    <x v="2"/>
    <n v="73.47"/>
    <n v="4"/>
    <n v="14.694000000000001"/>
    <x v="568"/>
    <x v="36"/>
    <x v="353"/>
    <x v="1"/>
    <n v="293.88"/>
    <n v="4.7619047620000003"/>
    <n v="14.694000000000001"/>
    <n v="6"/>
  </r>
  <r>
    <s v="398-56-2422"/>
    <x v="1"/>
    <x v="0"/>
    <x v="0"/>
    <x v="1"/>
    <x v="2"/>
    <n v="73.47"/>
    <n v="4"/>
    <n v="14.694000000000001"/>
    <x v="568"/>
    <x v="36"/>
    <x v="353"/>
    <x v="0"/>
    <n v="293.88"/>
    <n v="4.7619047620000003"/>
    <n v="14.694000000000001"/>
    <n v="10.4"/>
  </r>
  <r>
    <s v="628-53-8766"/>
    <x v="1"/>
    <x v="2"/>
    <x v="1"/>
    <x v="0"/>
    <x v="1"/>
    <n v="29.42"/>
    <n v="10"/>
    <n v="14.71"/>
    <x v="569"/>
    <x v="22"/>
    <x v="165"/>
    <x v="0"/>
    <n v="294.2"/>
    <n v="4.7619047620000003"/>
    <n v="14.71"/>
    <n v="8.9"/>
  </r>
  <r>
    <s v="647-50-1224"/>
    <x v="0"/>
    <x v="2"/>
    <x v="1"/>
    <x v="1"/>
    <x v="1"/>
    <n v="29.42"/>
    <n v="10"/>
    <n v="14.71"/>
    <x v="569"/>
    <x v="22"/>
    <x v="165"/>
    <x v="1"/>
    <n v="294.2"/>
    <n v="4.7619047620000003"/>
    <n v="14.71"/>
    <n v="8.9"/>
  </r>
  <r>
    <s v="711-99-9156"/>
    <x v="1"/>
    <x v="0"/>
    <x v="1"/>
    <x v="0"/>
    <x v="1"/>
    <n v="29.42"/>
    <n v="10"/>
    <n v="14.71"/>
    <x v="569"/>
    <x v="22"/>
    <x v="165"/>
    <x v="0"/>
    <n v="294.2"/>
    <n v="4.7619047620000003"/>
    <n v="14.71"/>
    <n v="10.5"/>
  </r>
  <r>
    <s v="257-41-2971"/>
    <x v="0"/>
    <x v="0"/>
    <x v="1"/>
    <x v="1"/>
    <x v="1"/>
    <n v="29.42"/>
    <n v="10"/>
    <n v="14.71"/>
    <x v="569"/>
    <x v="22"/>
    <x v="165"/>
    <x v="1"/>
    <n v="294.2"/>
    <n v="4.7619047620000003"/>
    <n v="14.71"/>
    <n v="10.6"/>
  </r>
  <r>
    <s v="210-67-5886"/>
    <x v="0"/>
    <x v="0"/>
    <x v="0"/>
    <x v="0"/>
    <x v="4"/>
    <n v="98.21"/>
    <n v="3"/>
    <n v="14.7315"/>
    <x v="570"/>
    <x v="28"/>
    <x v="380"/>
    <x v="2"/>
    <n v="294.63"/>
    <n v="4.7619047620000003"/>
    <n v="14.7315"/>
    <n v="7.8"/>
  </r>
  <r>
    <s v="269-04-5750"/>
    <x v="2"/>
    <x v="1"/>
    <x v="0"/>
    <x v="0"/>
    <x v="1"/>
    <n v="73.819999999999993"/>
    <n v="4"/>
    <n v="14.763999999999999"/>
    <x v="571"/>
    <x v="2"/>
    <x v="381"/>
    <x v="0"/>
    <n v="295.27999999999997"/>
    <n v="4.7619047620000003"/>
    <n v="14.763999999999999"/>
    <n v="6.7"/>
  </r>
  <r>
    <s v="326-71-2155"/>
    <x v="0"/>
    <x v="0"/>
    <x v="1"/>
    <x v="1"/>
    <x v="0"/>
    <n v="73.95"/>
    <n v="4"/>
    <n v="14.79"/>
    <x v="572"/>
    <x v="52"/>
    <x v="15"/>
    <x v="0"/>
    <n v="295.8"/>
    <n v="4.7619047620000003"/>
    <n v="14.79"/>
    <n v="6.1"/>
  </r>
  <r>
    <s v="632-38-1503"/>
    <x v="0"/>
    <x v="0"/>
    <x v="1"/>
    <x v="0"/>
    <x v="0"/>
    <n v="73.95"/>
    <n v="4"/>
    <n v="14.79"/>
    <x v="572"/>
    <x v="52"/>
    <x v="15"/>
    <x v="0"/>
    <n v="295.8"/>
    <n v="4.7619047620000003"/>
    <n v="14.79"/>
    <n v="6.1"/>
  </r>
  <r>
    <s v="182-59-1417"/>
    <x v="0"/>
    <x v="0"/>
    <x v="1"/>
    <x v="1"/>
    <x v="0"/>
    <n v="73.95"/>
    <n v="4"/>
    <n v="14.79"/>
    <x v="572"/>
    <x v="52"/>
    <x v="15"/>
    <x v="0"/>
    <n v="295.8"/>
    <n v="4.7619047620000003"/>
    <n v="14.79"/>
    <n v="6.1"/>
  </r>
  <r>
    <s v="545-48-1623"/>
    <x v="0"/>
    <x v="0"/>
    <x v="1"/>
    <x v="0"/>
    <x v="0"/>
    <n v="73.95"/>
    <n v="4"/>
    <n v="14.79"/>
    <x v="572"/>
    <x v="52"/>
    <x v="15"/>
    <x v="0"/>
    <n v="295.8"/>
    <n v="4.7619047620000003"/>
    <n v="14.79"/>
    <n v="10.7"/>
  </r>
  <r>
    <s v="370-96-0655"/>
    <x v="0"/>
    <x v="0"/>
    <x v="1"/>
    <x v="1"/>
    <x v="1"/>
    <n v="49.32"/>
    <n v="6"/>
    <n v="14.795999999999999"/>
    <x v="573"/>
    <x v="62"/>
    <x v="54"/>
    <x v="0"/>
    <n v="295.92"/>
    <n v="4.7619047620000003"/>
    <n v="14.795999999999999"/>
    <n v="7.1"/>
  </r>
  <r>
    <s v="909-20-2088"/>
    <x v="0"/>
    <x v="1"/>
    <x v="1"/>
    <x v="1"/>
    <x v="2"/>
    <n v="49.32"/>
    <n v="6"/>
    <n v="14.795999999999999"/>
    <x v="573"/>
    <x v="62"/>
    <x v="54"/>
    <x v="1"/>
    <n v="295.92"/>
    <n v="4.7619047620000003"/>
    <n v="14.795999999999999"/>
    <n v="7.1"/>
  </r>
  <r>
    <s v="758-47-9448"/>
    <x v="0"/>
    <x v="0"/>
    <x v="1"/>
    <x v="1"/>
    <x v="2"/>
    <n v="49.32"/>
    <n v="6"/>
    <n v="14.795999999999999"/>
    <x v="573"/>
    <x v="62"/>
    <x v="54"/>
    <x v="0"/>
    <n v="295.92"/>
    <n v="4.7619047620000003"/>
    <n v="14.795999999999999"/>
    <n v="7.1"/>
  </r>
  <r>
    <s v="695-09-5146"/>
    <x v="0"/>
    <x v="1"/>
    <x v="0"/>
    <x v="1"/>
    <x v="2"/>
    <n v="98.79"/>
    <n v="3"/>
    <n v="14.8185"/>
    <x v="574"/>
    <x v="36"/>
    <x v="382"/>
    <x v="0"/>
    <n v="296.37"/>
    <n v="4.7619047620000003"/>
    <n v="14.8185"/>
    <n v="6.4"/>
  </r>
  <r>
    <s v="770-49-1781"/>
    <x v="2"/>
    <x v="1"/>
    <x v="0"/>
    <x v="1"/>
    <x v="2"/>
    <n v="98.79"/>
    <n v="3"/>
    <n v="14.8185"/>
    <x v="574"/>
    <x v="36"/>
    <x v="382"/>
    <x v="1"/>
    <n v="296.37"/>
    <n v="4.7619047620000003"/>
    <n v="14.8185"/>
    <n v="6.4"/>
  </r>
  <r>
    <s v="846-10-0341"/>
    <x v="1"/>
    <x v="2"/>
    <x v="1"/>
    <x v="1"/>
    <x v="2"/>
    <n v="42.57"/>
    <n v="7"/>
    <n v="14.8995"/>
    <x v="575"/>
    <x v="5"/>
    <x v="327"/>
    <x v="0"/>
    <n v="297.99"/>
    <n v="4.7619047620000003"/>
    <n v="14.8995"/>
    <n v="6.8"/>
  </r>
  <r>
    <s v="221-25-5073"/>
    <x v="1"/>
    <x v="1"/>
    <x v="1"/>
    <x v="1"/>
    <x v="2"/>
    <n v="74.66"/>
    <n v="4"/>
    <n v="14.932"/>
    <x v="576"/>
    <x v="26"/>
    <x v="337"/>
    <x v="0"/>
    <n v="298.64"/>
    <n v="4.7619047620000003"/>
    <n v="14.932"/>
    <n v="8.5"/>
  </r>
  <r>
    <s v="246-50-8423"/>
    <x v="1"/>
    <x v="2"/>
    <x v="1"/>
    <x v="0"/>
    <x v="2"/>
    <n v="74.66"/>
    <n v="4"/>
    <n v="14.932"/>
    <x v="576"/>
    <x v="26"/>
    <x v="337"/>
    <x v="0"/>
    <n v="298.64"/>
    <n v="4.7619047620000003"/>
    <n v="14.932"/>
    <n v="8.5"/>
  </r>
  <r>
    <s v="384-61-4673"/>
    <x v="1"/>
    <x v="2"/>
    <x v="0"/>
    <x v="0"/>
    <x v="2"/>
    <n v="99.6"/>
    <n v="3"/>
    <n v="14.94"/>
    <x v="577"/>
    <x v="42"/>
    <x v="55"/>
    <x v="0"/>
    <n v="298.8"/>
    <n v="4.7619047620000003"/>
    <n v="14.94"/>
    <n v="5.8"/>
  </r>
  <r>
    <s v="459-45-2396"/>
    <x v="1"/>
    <x v="1"/>
    <x v="0"/>
    <x v="1"/>
    <x v="2"/>
    <n v="99.6"/>
    <n v="3"/>
    <n v="14.94"/>
    <x v="577"/>
    <x v="42"/>
    <x v="55"/>
    <x v="0"/>
    <n v="298.8"/>
    <n v="4.7619047620000003"/>
    <n v="14.94"/>
    <n v="5.8"/>
  </r>
  <r>
    <s v="336-24-2768"/>
    <x v="0"/>
    <x v="2"/>
    <x v="0"/>
    <x v="0"/>
    <x v="2"/>
    <n v="99.6"/>
    <n v="3"/>
    <n v="14.94"/>
    <x v="577"/>
    <x v="42"/>
    <x v="55"/>
    <x v="0"/>
    <n v="298.8"/>
    <n v="4.7619047620000003"/>
    <n v="14.94"/>
    <n v="5.8"/>
  </r>
  <r>
    <s v="420-04-7590"/>
    <x v="0"/>
    <x v="1"/>
    <x v="1"/>
    <x v="0"/>
    <x v="3"/>
    <n v="99.7"/>
    <n v="3"/>
    <n v="14.955"/>
    <x v="578"/>
    <x v="50"/>
    <x v="383"/>
    <x v="0"/>
    <n v="299.10000000000002"/>
    <n v="4.7619047620000003"/>
    <n v="14.955"/>
    <n v="4.7"/>
  </r>
  <r>
    <s v="652-54-1098"/>
    <x v="0"/>
    <x v="1"/>
    <x v="1"/>
    <x v="0"/>
    <x v="3"/>
    <n v="99.7"/>
    <n v="3"/>
    <n v="14.955"/>
    <x v="578"/>
    <x v="50"/>
    <x v="383"/>
    <x v="0"/>
    <n v="299.10000000000002"/>
    <n v="4.7619047620000003"/>
    <n v="14.955"/>
    <n v="4.7"/>
  </r>
  <r>
    <s v="153-58-4872"/>
    <x v="0"/>
    <x v="1"/>
    <x v="0"/>
    <x v="1"/>
    <x v="2"/>
    <n v="74.89"/>
    <n v="4"/>
    <n v="14.978"/>
    <x v="579"/>
    <x v="47"/>
    <x v="384"/>
    <x v="1"/>
    <n v="299.56"/>
    <n v="4.7619047620000003"/>
    <n v="14.978"/>
    <n v="4.2"/>
  </r>
  <r>
    <s v="263-58-5106"/>
    <x v="0"/>
    <x v="0"/>
    <x v="0"/>
    <x v="1"/>
    <x v="2"/>
    <n v="74.89"/>
    <n v="4"/>
    <n v="14.978"/>
    <x v="579"/>
    <x v="47"/>
    <x v="384"/>
    <x v="1"/>
    <n v="299.56"/>
    <n v="4.7619047620000003"/>
    <n v="14.978"/>
    <n v="4.2"/>
  </r>
  <r>
    <s v="558-60-5016"/>
    <x v="1"/>
    <x v="2"/>
    <x v="1"/>
    <x v="1"/>
    <x v="3"/>
    <n v="33.299999999999997"/>
    <n v="9"/>
    <n v="14.984999999999999"/>
    <x v="580"/>
    <x v="26"/>
    <x v="160"/>
    <x v="0"/>
    <n v="299.7"/>
    <n v="4.7619047620000003"/>
    <n v="14.984999999999999"/>
    <n v="7.2"/>
  </r>
  <r>
    <s v="685-64-1609"/>
    <x v="1"/>
    <x v="2"/>
    <x v="0"/>
    <x v="0"/>
    <x v="1"/>
    <n v="30.14"/>
    <n v="10"/>
    <n v="15.07"/>
    <x v="581"/>
    <x v="64"/>
    <x v="101"/>
    <x v="1"/>
    <n v="301.39999999999998"/>
    <n v="4.7619047620000003"/>
    <n v="15.07"/>
    <n v="9.1999999999999993"/>
  </r>
  <r>
    <s v="567-34-1985"/>
    <x v="1"/>
    <x v="2"/>
    <x v="0"/>
    <x v="0"/>
    <x v="1"/>
    <n v="30.14"/>
    <n v="10"/>
    <n v="15.07"/>
    <x v="581"/>
    <x v="64"/>
    <x v="101"/>
    <x v="1"/>
    <n v="301.39999999999998"/>
    <n v="4.7619047620000003"/>
    <n v="15.07"/>
    <n v="10.8"/>
  </r>
  <r>
    <s v="728-88-7867"/>
    <x v="0"/>
    <x v="0"/>
    <x v="0"/>
    <x v="1"/>
    <x v="3"/>
    <n v="75.53"/>
    <n v="4"/>
    <n v="15.106"/>
    <x v="582"/>
    <x v="7"/>
    <x v="70"/>
    <x v="1"/>
    <n v="302.12"/>
    <n v="4.7619047620000003"/>
    <n v="15.106"/>
    <n v="8.3000000000000007"/>
  </r>
  <r>
    <s v="482-65-8213"/>
    <x v="2"/>
    <x v="1"/>
    <x v="0"/>
    <x v="0"/>
    <x v="5"/>
    <n v="50.45"/>
    <n v="6"/>
    <n v="15.135"/>
    <x v="583"/>
    <x v="51"/>
    <x v="157"/>
    <x v="2"/>
    <n v="302.7"/>
    <n v="4.7619047620000003"/>
    <n v="15.135"/>
    <n v="8.9"/>
  </r>
  <r>
    <s v="811-35-1094"/>
    <x v="2"/>
    <x v="1"/>
    <x v="0"/>
    <x v="0"/>
    <x v="5"/>
    <n v="50.45"/>
    <n v="6"/>
    <n v="15.135"/>
    <x v="583"/>
    <x v="51"/>
    <x v="157"/>
    <x v="0"/>
    <n v="302.7"/>
    <n v="4.7619047620000003"/>
    <n v="15.135"/>
    <n v="8.9"/>
  </r>
  <r>
    <s v="853-23-2453"/>
    <x v="2"/>
    <x v="1"/>
    <x v="0"/>
    <x v="0"/>
    <x v="2"/>
    <n v="75.739999999999995"/>
    <n v="4"/>
    <n v="15.148"/>
    <x v="584"/>
    <x v="83"/>
    <x v="74"/>
    <x v="0"/>
    <n v="302.95999999999998"/>
    <n v="4.7619047620000003"/>
    <n v="15.148"/>
    <n v="7.6"/>
  </r>
  <r>
    <s v="827-26-2100"/>
    <x v="1"/>
    <x v="2"/>
    <x v="0"/>
    <x v="0"/>
    <x v="3"/>
    <n v="33.840000000000003"/>
    <n v="9"/>
    <n v="15.228"/>
    <x v="585"/>
    <x v="78"/>
    <x v="92"/>
    <x v="1"/>
    <n v="304.56"/>
    <n v="4.7619047620000003"/>
    <n v="15.228"/>
    <n v="8.8000000000000007"/>
  </r>
  <r>
    <s v="380-57-9790"/>
    <x v="0"/>
    <x v="0"/>
    <x v="1"/>
    <x v="1"/>
    <x v="2"/>
    <n v="33.979999999999997"/>
    <n v="9"/>
    <n v="15.291"/>
    <x v="586"/>
    <x v="73"/>
    <x v="228"/>
    <x v="0"/>
    <n v="305.82"/>
    <n v="4.7619047620000003"/>
    <n v="15.291"/>
    <n v="4.2"/>
  </r>
  <r>
    <s v="588-01-7461"/>
    <x v="0"/>
    <x v="0"/>
    <x v="1"/>
    <x v="0"/>
    <x v="2"/>
    <n v="33.979999999999997"/>
    <n v="9"/>
    <n v="15.291"/>
    <x v="586"/>
    <x v="73"/>
    <x v="228"/>
    <x v="0"/>
    <n v="305.82"/>
    <n v="4.7619047620000003"/>
    <n v="15.291"/>
    <n v="4.2"/>
  </r>
  <r>
    <s v="454-28-4219"/>
    <x v="0"/>
    <x v="0"/>
    <x v="1"/>
    <x v="1"/>
    <x v="2"/>
    <n v="33.979999999999997"/>
    <n v="9"/>
    <n v="15.291"/>
    <x v="586"/>
    <x v="73"/>
    <x v="228"/>
    <x v="0"/>
    <n v="305.82"/>
    <n v="4.7619047620000003"/>
    <n v="15.291"/>
    <n v="4.2"/>
  </r>
  <r>
    <s v="291-21-5991"/>
    <x v="0"/>
    <x v="0"/>
    <x v="0"/>
    <x v="0"/>
    <x v="4"/>
    <n v="61.29"/>
    <n v="5"/>
    <n v="15.3225"/>
    <x v="587"/>
    <x v="86"/>
    <x v="247"/>
    <x v="0"/>
    <n v="306.45"/>
    <n v="4.7619047620000003"/>
    <n v="15.3225"/>
    <n v="7"/>
  </r>
  <r>
    <s v="952-58-2073"/>
    <x v="1"/>
    <x v="0"/>
    <x v="0"/>
    <x v="0"/>
    <x v="4"/>
    <n v="61.29"/>
    <n v="5"/>
    <n v="15.3225"/>
    <x v="587"/>
    <x v="86"/>
    <x v="247"/>
    <x v="1"/>
    <n v="306.45"/>
    <n v="4.7619047620000003"/>
    <n v="15.3225"/>
    <n v="7"/>
  </r>
  <r>
    <s v="190-27-9382"/>
    <x v="1"/>
    <x v="0"/>
    <x v="1"/>
    <x v="0"/>
    <x v="2"/>
    <n v="51.28"/>
    <n v="6"/>
    <n v="15.384"/>
    <x v="588"/>
    <x v="35"/>
    <x v="385"/>
    <x v="0"/>
    <n v="307.68"/>
    <n v="4.7619047620000003"/>
    <n v="15.384"/>
    <n v="6.5"/>
  </r>
  <r>
    <s v="796-32-9050"/>
    <x v="1"/>
    <x v="0"/>
    <x v="1"/>
    <x v="0"/>
    <x v="2"/>
    <n v="51.28"/>
    <n v="6"/>
    <n v="15.384"/>
    <x v="588"/>
    <x v="35"/>
    <x v="385"/>
    <x v="0"/>
    <n v="307.68"/>
    <n v="4.7619047620000003"/>
    <n v="15.384"/>
    <n v="6.5"/>
  </r>
  <r>
    <s v="434-83-9547"/>
    <x v="0"/>
    <x v="0"/>
    <x v="0"/>
    <x v="0"/>
    <x v="2"/>
    <n v="38.47"/>
    <n v="8"/>
    <n v="15.388"/>
    <x v="589"/>
    <x v="27"/>
    <x v="327"/>
    <x v="0"/>
    <n v="307.76"/>
    <n v="4.7619047620000003"/>
    <n v="15.388"/>
    <n v="7.7"/>
  </r>
  <r>
    <s v="703-77-9385"/>
    <x v="0"/>
    <x v="0"/>
    <x v="0"/>
    <x v="0"/>
    <x v="2"/>
    <n v="38.47"/>
    <n v="8"/>
    <n v="15.388"/>
    <x v="589"/>
    <x v="27"/>
    <x v="327"/>
    <x v="0"/>
    <n v="307.76"/>
    <n v="4.7619047620000003"/>
    <n v="15.388"/>
    <n v="7.7"/>
  </r>
  <r>
    <s v="983-72-5667"/>
    <x v="0"/>
    <x v="0"/>
    <x v="0"/>
    <x v="0"/>
    <x v="2"/>
    <n v="38.47"/>
    <n v="8"/>
    <n v="15.388"/>
    <x v="589"/>
    <x v="27"/>
    <x v="327"/>
    <x v="0"/>
    <n v="307.76"/>
    <n v="4.7619047620000003"/>
    <n v="15.388"/>
    <n v="7.7"/>
  </r>
  <r>
    <s v="563-91-7120"/>
    <x v="1"/>
    <x v="0"/>
    <x v="1"/>
    <x v="1"/>
    <x v="1"/>
    <n v="61.77"/>
    <n v="5"/>
    <n v="15.442500000000001"/>
    <x v="590"/>
    <x v="66"/>
    <x v="197"/>
    <x v="0"/>
    <n v="308.85000000000002"/>
    <n v="4.7619047620000003"/>
    <n v="15.442500000000001"/>
    <n v="6.7"/>
  </r>
  <r>
    <s v="220-68-6701"/>
    <x v="1"/>
    <x v="0"/>
    <x v="1"/>
    <x v="1"/>
    <x v="3"/>
    <n v="77.47"/>
    <n v="4"/>
    <n v="15.494"/>
    <x v="591"/>
    <x v="16"/>
    <x v="161"/>
    <x v="0"/>
    <n v="309.88"/>
    <n v="4.7619047620000003"/>
    <n v="15.494"/>
    <n v="4.2"/>
  </r>
  <r>
    <s v="443-82-0585"/>
    <x v="0"/>
    <x v="0"/>
    <x v="0"/>
    <x v="1"/>
    <x v="4"/>
    <n v="77.680000000000007"/>
    <n v="4"/>
    <n v="15.536"/>
    <x v="592"/>
    <x v="71"/>
    <x v="386"/>
    <x v="0"/>
    <n v="310.72000000000003"/>
    <n v="4.7619047620000003"/>
    <n v="15.536"/>
    <n v="8.4"/>
  </r>
  <r>
    <s v="616-10-2941"/>
    <x v="0"/>
    <x v="0"/>
    <x v="1"/>
    <x v="1"/>
    <x v="4"/>
    <n v="77.680000000000007"/>
    <n v="4"/>
    <n v="15.536"/>
    <x v="592"/>
    <x v="71"/>
    <x v="386"/>
    <x v="0"/>
    <n v="310.72000000000003"/>
    <n v="4.7619047620000003"/>
    <n v="15.536"/>
    <n v="8.4"/>
  </r>
  <r>
    <s v="799-71-1548"/>
    <x v="1"/>
    <x v="0"/>
    <x v="0"/>
    <x v="0"/>
    <x v="5"/>
    <n v="77.72"/>
    <n v="4"/>
    <n v="15.544"/>
    <x v="593"/>
    <x v="65"/>
    <x v="387"/>
    <x v="2"/>
    <n v="310.88"/>
    <n v="4.7619047620000003"/>
    <n v="15.544"/>
    <n v="8.8000000000000007"/>
  </r>
  <r>
    <s v="951-29-6881"/>
    <x v="1"/>
    <x v="0"/>
    <x v="0"/>
    <x v="0"/>
    <x v="2"/>
    <n v="77.72"/>
    <n v="4"/>
    <n v="15.544"/>
    <x v="593"/>
    <x v="65"/>
    <x v="387"/>
    <x v="2"/>
    <n v="310.88"/>
    <n v="4.7619047620000003"/>
    <n v="15.544"/>
    <n v="8.8000000000000007"/>
  </r>
  <r>
    <s v="129-29-8530"/>
    <x v="1"/>
    <x v="0"/>
    <x v="0"/>
    <x v="0"/>
    <x v="0"/>
    <n v="62.62"/>
    <n v="5"/>
    <n v="15.654999999999999"/>
    <x v="594"/>
    <x v="20"/>
    <x v="388"/>
    <x v="1"/>
    <n v="313.10000000000002"/>
    <n v="4.7619047620000003"/>
    <n v="15.654999999999999"/>
    <n v="7"/>
  </r>
  <r>
    <s v="118-62-1812"/>
    <x v="0"/>
    <x v="0"/>
    <x v="0"/>
    <x v="1"/>
    <x v="3"/>
    <n v="78.38"/>
    <n v="4"/>
    <n v="15.676"/>
    <x v="595"/>
    <x v="73"/>
    <x v="389"/>
    <x v="0"/>
    <n v="313.52"/>
    <n v="4.7619047620000003"/>
    <n v="15.676"/>
    <n v="7.9"/>
  </r>
  <r>
    <s v="146-09-5432"/>
    <x v="1"/>
    <x v="0"/>
    <x v="0"/>
    <x v="0"/>
    <x v="2"/>
    <n v="35.04"/>
    <n v="9"/>
    <n v="15.768000000000001"/>
    <x v="596"/>
    <x v="14"/>
    <x v="56"/>
    <x v="0"/>
    <n v="315.36"/>
    <n v="4.7619047620000003"/>
    <n v="15.768000000000001"/>
    <n v="4.5999999999999996"/>
  </r>
  <r>
    <s v="902-42-9175"/>
    <x v="1"/>
    <x v="0"/>
    <x v="0"/>
    <x v="0"/>
    <x v="2"/>
    <n v="35.04"/>
    <n v="9"/>
    <n v="15.768000000000001"/>
    <x v="596"/>
    <x v="14"/>
    <x v="56"/>
    <x v="1"/>
    <n v="315.36"/>
    <n v="4.7619047620000003"/>
    <n v="15.768000000000001"/>
    <n v="4.5999999999999996"/>
  </r>
  <r>
    <s v="608-27-6295"/>
    <x v="2"/>
    <x v="0"/>
    <x v="0"/>
    <x v="0"/>
    <x v="5"/>
    <n v="52.89"/>
    <n v="6"/>
    <n v="15.867000000000001"/>
    <x v="597"/>
    <x v="35"/>
    <x v="390"/>
    <x v="2"/>
    <n v="317.33999999999997"/>
    <n v="4.7619047620000003"/>
    <n v="15.867000000000001"/>
    <n v="9.8000000000000007"/>
  </r>
  <r>
    <s v="926-41-3237"/>
    <x v="2"/>
    <x v="0"/>
    <x v="0"/>
    <x v="0"/>
    <x v="2"/>
    <n v="52.89"/>
    <n v="6"/>
    <n v="15.867000000000001"/>
    <x v="597"/>
    <x v="35"/>
    <x v="390"/>
    <x v="2"/>
    <n v="317.33999999999997"/>
    <n v="4.7619047620000003"/>
    <n v="15.867000000000001"/>
    <n v="9.8000000000000007"/>
  </r>
  <r>
    <s v="720-63-2087"/>
    <x v="2"/>
    <x v="0"/>
    <x v="0"/>
    <x v="0"/>
    <x v="5"/>
    <n v="52.89"/>
    <n v="6"/>
    <n v="15.867000000000001"/>
    <x v="597"/>
    <x v="35"/>
    <x v="390"/>
    <x v="2"/>
    <n v="317.33999999999997"/>
    <n v="4.7619047620000003"/>
    <n v="15.867000000000001"/>
    <n v="10.9"/>
  </r>
  <r>
    <s v="654-31-4117"/>
    <x v="1"/>
    <x v="0"/>
    <x v="1"/>
    <x v="1"/>
    <x v="2"/>
    <n v="63.61"/>
    <n v="5"/>
    <n v="15.9025"/>
    <x v="598"/>
    <x v="29"/>
    <x v="14"/>
    <x v="1"/>
    <n v="318.05"/>
    <n v="4.7619047620000003"/>
    <n v="15.9025"/>
    <n v="4.8"/>
  </r>
  <r>
    <s v="727-17-0390"/>
    <x v="0"/>
    <x v="0"/>
    <x v="1"/>
    <x v="1"/>
    <x v="2"/>
    <n v="63.61"/>
    <n v="5"/>
    <n v="15.9025"/>
    <x v="598"/>
    <x v="29"/>
    <x v="14"/>
    <x v="1"/>
    <n v="318.05"/>
    <n v="4.7619047620000003"/>
    <n v="15.9025"/>
    <n v="4.8"/>
  </r>
  <r>
    <s v="643-23-3078"/>
    <x v="1"/>
    <x v="0"/>
    <x v="1"/>
    <x v="1"/>
    <x v="2"/>
    <n v="63.61"/>
    <n v="5"/>
    <n v="15.9025"/>
    <x v="598"/>
    <x v="29"/>
    <x v="14"/>
    <x v="1"/>
    <n v="318.05"/>
    <n v="4.7619047620000003"/>
    <n v="15.9025"/>
    <n v="11"/>
  </r>
  <r>
    <s v="477-59-2456"/>
    <x v="0"/>
    <x v="0"/>
    <x v="1"/>
    <x v="1"/>
    <x v="1"/>
    <n v="45.44"/>
    <n v="7"/>
    <n v="15.904"/>
    <x v="599"/>
    <x v="27"/>
    <x v="282"/>
    <x v="0"/>
    <n v="318.08"/>
    <n v="4.7619047620000003"/>
    <n v="15.904"/>
    <n v="9.1999999999999993"/>
  </r>
  <r>
    <s v="843-01-4703"/>
    <x v="2"/>
    <x v="0"/>
    <x v="0"/>
    <x v="1"/>
    <x v="3"/>
    <n v="35.380000000000003"/>
    <n v="9"/>
    <n v="15.920999999999999"/>
    <x v="600"/>
    <x v="32"/>
    <x v="391"/>
    <x v="2"/>
    <n v="318.42"/>
    <n v="4.7619047620000003"/>
    <n v="15.920999999999999"/>
    <n v="9.6"/>
  </r>
  <r>
    <s v="374-38-5555"/>
    <x v="2"/>
    <x v="0"/>
    <x v="1"/>
    <x v="1"/>
    <x v="1"/>
    <n v="63.71"/>
    <n v="5"/>
    <n v="15.9275"/>
    <x v="601"/>
    <x v="0"/>
    <x v="123"/>
    <x v="0"/>
    <n v="318.55"/>
    <n v="4.7619047620000003"/>
    <n v="15.9275"/>
    <n v="8.5"/>
  </r>
  <r>
    <s v="941-44-9626"/>
    <x v="0"/>
    <x v="0"/>
    <x v="1"/>
    <x v="1"/>
    <x v="2"/>
    <n v="63.71"/>
    <n v="5"/>
    <n v="15.9275"/>
    <x v="601"/>
    <x v="0"/>
    <x v="123"/>
    <x v="0"/>
    <n v="318.55"/>
    <n v="4.7619047620000003"/>
    <n v="15.9275"/>
    <n v="8.5"/>
  </r>
  <r>
    <s v="460-93-5834"/>
    <x v="1"/>
    <x v="0"/>
    <x v="1"/>
    <x v="0"/>
    <x v="0"/>
    <n v="45.58"/>
    <n v="7"/>
    <n v="15.952999999999999"/>
    <x v="602"/>
    <x v="75"/>
    <x v="392"/>
    <x v="0"/>
    <n v="319.06"/>
    <n v="4.7619047620000003"/>
    <n v="15.952999999999999"/>
    <n v="5"/>
  </r>
  <r>
    <s v="696-62-7753"/>
    <x v="1"/>
    <x v="0"/>
    <x v="1"/>
    <x v="0"/>
    <x v="0"/>
    <n v="45.58"/>
    <n v="7"/>
    <n v="15.952999999999999"/>
    <x v="602"/>
    <x v="75"/>
    <x v="392"/>
    <x v="0"/>
    <n v="319.06"/>
    <n v="4.7619047620000003"/>
    <n v="15.952999999999999"/>
    <n v="5"/>
  </r>
  <r>
    <s v="271-49-4264"/>
    <x v="2"/>
    <x v="0"/>
    <x v="0"/>
    <x v="0"/>
    <x v="0"/>
    <n v="31.99"/>
    <n v="10"/>
    <n v="15.994999999999999"/>
    <x v="603"/>
    <x v="76"/>
    <x v="393"/>
    <x v="2"/>
    <n v="319.89999999999998"/>
    <n v="4.7619047620000003"/>
    <n v="15.994999999999999"/>
    <n v="9.9"/>
  </r>
  <r>
    <s v="311-13-6971"/>
    <x v="2"/>
    <x v="0"/>
    <x v="0"/>
    <x v="0"/>
    <x v="0"/>
    <n v="31.99"/>
    <n v="10"/>
    <n v="15.994999999999999"/>
    <x v="603"/>
    <x v="76"/>
    <x v="393"/>
    <x v="0"/>
    <n v="319.89999999999998"/>
    <n v="4.7619047620000003"/>
    <n v="15.994999999999999"/>
    <n v="9.9"/>
  </r>
  <r>
    <s v="932-28-7293"/>
    <x v="2"/>
    <x v="0"/>
    <x v="0"/>
    <x v="0"/>
    <x v="0"/>
    <n v="31.99"/>
    <n v="10"/>
    <n v="15.994999999999999"/>
    <x v="603"/>
    <x v="76"/>
    <x v="393"/>
    <x v="0"/>
    <n v="319.89999999999998"/>
    <n v="4.7619047620000003"/>
    <n v="15.994999999999999"/>
    <n v="9.9"/>
  </r>
  <r>
    <s v="833-15-5119"/>
    <x v="1"/>
    <x v="0"/>
    <x v="1"/>
    <x v="0"/>
    <x v="2"/>
    <n v="45.79"/>
    <n v="7"/>
    <n v="16.026499999999999"/>
    <x v="604"/>
    <x v="57"/>
    <x v="26"/>
    <x v="2"/>
    <n v="320.52999999999997"/>
    <n v="4.7619047620000003"/>
    <n v="16.026499999999999"/>
    <n v="7"/>
  </r>
  <r>
    <s v="441-98-1123"/>
    <x v="0"/>
    <x v="0"/>
    <x v="0"/>
    <x v="1"/>
    <x v="2"/>
    <n v="80.36"/>
    <n v="4"/>
    <n v="16.071999999999999"/>
    <x v="605"/>
    <x v="36"/>
    <x v="55"/>
    <x v="0"/>
    <n v="321.44"/>
    <n v="4.7619047620000003"/>
    <n v="16.071999999999999"/>
    <n v="8.3000000000000007"/>
  </r>
  <r>
    <s v="787-56-0757"/>
    <x v="0"/>
    <x v="0"/>
    <x v="0"/>
    <x v="0"/>
    <x v="2"/>
    <n v="80.36"/>
    <n v="4"/>
    <n v="16.071999999999999"/>
    <x v="605"/>
    <x v="36"/>
    <x v="55"/>
    <x v="2"/>
    <n v="321.44"/>
    <n v="4.7619047620000003"/>
    <n v="16.071999999999999"/>
    <n v="8.3000000000000007"/>
  </r>
  <r>
    <s v="608-49-1610"/>
    <x v="0"/>
    <x v="0"/>
    <x v="1"/>
    <x v="1"/>
    <x v="2"/>
    <n v="80.36"/>
    <n v="4"/>
    <n v="16.071999999999999"/>
    <x v="605"/>
    <x v="36"/>
    <x v="55"/>
    <x v="0"/>
    <n v="321.44"/>
    <n v="4.7619047620000003"/>
    <n v="16.071999999999999"/>
    <n v="8.3000000000000007"/>
  </r>
  <r>
    <s v="246-55-6923"/>
    <x v="0"/>
    <x v="0"/>
    <x v="0"/>
    <x v="1"/>
    <x v="3"/>
    <n v="35.79"/>
    <n v="9"/>
    <n v="16.105499999999999"/>
    <x v="606"/>
    <x v="20"/>
    <x v="297"/>
    <x v="0"/>
    <n v="322.11"/>
    <n v="4.7619047620000003"/>
    <n v="16.105499999999999"/>
    <n v="5.0999999999999996"/>
  </r>
  <r>
    <s v="676-39-6028"/>
    <x v="0"/>
    <x v="0"/>
    <x v="0"/>
    <x v="1"/>
    <x v="5"/>
    <n v="64.44"/>
    <n v="5"/>
    <n v="16.11"/>
    <x v="607"/>
    <x v="80"/>
    <x v="394"/>
    <x v="0"/>
    <n v="322.2"/>
    <n v="4.7619047620000003"/>
    <n v="16.11"/>
    <n v="6.6"/>
  </r>
  <r>
    <s v="809-98-4223"/>
    <x v="1"/>
    <x v="0"/>
    <x v="0"/>
    <x v="0"/>
    <x v="5"/>
    <n v="64.44"/>
    <n v="5"/>
    <n v="16.11"/>
    <x v="607"/>
    <x v="80"/>
    <x v="394"/>
    <x v="0"/>
    <n v="322.2"/>
    <n v="4.7619047620000003"/>
    <n v="16.11"/>
    <n v="6.6"/>
  </r>
  <r>
    <s v="203-59-1332"/>
    <x v="0"/>
    <x v="0"/>
    <x v="0"/>
    <x v="1"/>
    <x v="5"/>
    <n v="64.44"/>
    <n v="5"/>
    <n v="16.11"/>
    <x v="607"/>
    <x v="80"/>
    <x v="394"/>
    <x v="0"/>
    <n v="322.2"/>
    <n v="4.7619047620000003"/>
    <n v="16.11"/>
    <n v="11.1"/>
  </r>
  <r>
    <s v="725-56-0833"/>
    <x v="0"/>
    <x v="0"/>
    <x v="1"/>
    <x v="1"/>
    <x v="4"/>
    <n v="32.32"/>
    <n v="10"/>
    <n v="16.16"/>
    <x v="608"/>
    <x v="76"/>
    <x v="332"/>
    <x v="2"/>
    <n v="323.2"/>
    <n v="4.7619047620000003"/>
    <n v="16.16"/>
    <n v="10"/>
  </r>
  <r>
    <s v="631-41-3108"/>
    <x v="1"/>
    <x v="0"/>
    <x v="1"/>
    <x v="0"/>
    <x v="3"/>
    <n v="46.33"/>
    <n v="7"/>
    <n v="16.215499999999999"/>
    <x v="609"/>
    <x v="18"/>
    <x v="395"/>
    <x v="2"/>
    <n v="324.31"/>
    <n v="4.7619047620000003"/>
    <n v="16.215499999999999"/>
    <n v="7.4"/>
  </r>
  <r>
    <s v="758-50-9062"/>
    <x v="1"/>
    <x v="0"/>
    <x v="1"/>
    <x v="0"/>
    <x v="3"/>
    <n v="46.33"/>
    <n v="7"/>
    <n v="16.215499999999999"/>
    <x v="609"/>
    <x v="18"/>
    <x v="395"/>
    <x v="2"/>
    <n v="324.31"/>
    <n v="4.7619047620000003"/>
    <n v="16.215499999999999"/>
    <n v="11.2"/>
  </r>
  <r>
    <s v="176-51-5799"/>
    <x v="0"/>
    <x v="0"/>
    <x v="0"/>
    <x v="0"/>
    <x v="0"/>
    <n v="64.97"/>
    <n v="5"/>
    <n v="16.2425"/>
    <x v="610"/>
    <x v="13"/>
    <x v="396"/>
    <x v="2"/>
    <n v="324.85000000000002"/>
    <n v="4.7619047620000003"/>
    <n v="16.2425"/>
    <n v="6.5"/>
  </r>
  <r>
    <s v="815-04-6282"/>
    <x v="0"/>
    <x v="0"/>
    <x v="0"/>
    <x v="1"/>
    <x v="0"/>
    <n v="64.97"/>
    <n v="5"/>
    <n v="16.2425"/>
    <x v="610"/>
    <x v="13"/>
    <x v="396"/>
    <x v="0"/>
    <n v="324.85000000000002"/>
    <n v="4.7619047620000003"/>
    <n v="16.2425"/>
    <n v="6.5"/>
  </r>
  <r>
    <s v="404-57-2096"/>
    <x v="0"/>
    <x v="0"/>
    <x v="1"/>
    <x v="0"/>
    <x v="1"/>
    <n v="81.680000000000007"/>
    <n v="4"/>
    <n v="16.335999999999999"/>
    <x v="611"/>
    <x v="5"/>
    <x v="397"/>
    <x v="0"/>
    <n v="326.72000000000003"/>
    <n v="4.7619047620000003"/>
    <n v="16.335999999999999"/>
    <n v="9.1"/>
  </r>
  <r>
    <s v="834-25-9262"/>
    <x v="0"/>
    <x v="0"/>
    <x v="1"/>
    <x v="1"/>
    <x v="1"/>
    <n v="81.680000000000007"/>
    <n v="4"/>
    <n v="16.335999999999999"/>
    <x v="611"/>
    <x v="5"/>
    <x v="397"/>
    <x v="0"/>
    <n v="326.72000000000003"/>
    <n v="4.7619047620000003"/>
    <n v="16.335999999999999"/>
    <n v="9.1"/>
  </r>
  <r>
    <s v="668-67-8175"/>
    <x v="0"/>
    <x v="0"/>
    <x v="1"/>
    <x v="0"/>
    <x v="1"/>
    <n v="81.680000000000007"/>
    <n v="4"/>
    <n v="16.335999999999999"/>
    <x v="611"/>
    <x v="5"/>
    <x v="397"/>
    <x v="0"/>
    <n v="326.72000000000003"/>
    <n v="4.7619047620000003"/>
    <n v="16.335999999999999"/>
    <n v="9.1"/>
  </r>
  <r>
    <s v="432-99-9811"/>
    <x v="0"/>
    <x v="0"/>
    <x v="1"/>
    <x v="0"/>
    <x v="5"/>
    <n v="40.86"/>
    <n v="8"/>
    <n v="16.344000000000001"/>
    <x v="612"/>
    <x v="0"/>
    <x v="153"/>
    <x v="0"/>
    <n v="326.88"/>
    <n v="4.7619047620000003"/>
    <n v="16.344000000000001"/>
    <n v="6.5"/>
  </r>
  <r>
    <s v="810-60-6344"/>
    <x v="0"/>
    <x v="0"/>
    <x v="1"/>
    <x v="1"/>
    <x v="5"/>
    <n v="40.86"/>
    <n v="8"/>
    <n v="16.344000000000001"/>
    <x v="612"/>
    <x v="0"/>
    <x v="153"/>
    <x v="2"/>
    <n v="326.88"/>
    <n v="4.7619047620000003"/>
    <n v="16.344000000000001"/>
    <n v="6.5"/>
  </r>
  <r>
    <s v="111-21-8965"/>
    <x v="0"/>
    <x v="0"/>
    <x v="1"/>
    <x v="0"/>
    <x v="5"/>
    <n v="40.86"/>
    <n v="8"/>
    <n v="16.344000000000001"/>
    <x v="612"/>
    <x v="0"/>
    <x v="153"/>
    <x v="0"/>
    <n v="326.88"/>
    <n v="4.7619047620000003"/>
    <n v="16.344000000000001"/>
    <n v="6.5"/>
  </r>
  <r>
    <s v="111-58-2673"/>
    <x v="2"/>
    <x v="0"/>
    <x v="1"/>
    <x v="0"/>
    <x v="0"/>
    <n v="54.51"/>
    <n v="6"/>
    <n v="16.353000000000002"/>
    <x v="613"/>
    <x v="16"/>
    <x v="354"/>
    <x v="1"/>
    <n v="327.06"/>
    <n v="4.7619047620000003"/>
    <n v="16.353000000000002"/>
    <n v="7.8"/>
  </r>
  <r>
    <s v="642-30-6693"/>
    <x v="0"/>
    <x v="0"/>
    <x v="1"/>
    <x v="1"/>
    <x v="0"/>
    <n v="54.51"/>
    <n v="6"/>
    <n v="16.353000000000002"/>
    <x v="613"/>
    <x v="16"/>
    <x v="354"/>
    <x v="0"/>
    <n v="327.06"/>
    <n v="4.7619047620000003"/>
    <n v="16.353000000000002"/>
    <n v="7.8"/>
  </r>
  <r>
    <s v="123-56-7486"/>
    <x v="0"/>
    <x v="0"/>
    <x v="1"/>
    <x v="1"/>
    <x v="0"/>
    <n v="54.51"/>
    <n v="6"/>
    <n v="16.353000000000002"/>
    <x v="613"/>
    <x v="16"/>
    <x v="354"/>
    <x v="0"/>
    <n v="327.06"/>
    <n v="4.7619047620000003"/>
    <n v="16.353000000000002"/>
    <n v="11.3"/>
  </r>
  <r>
    <s v="150-48-2852"/>
    <x v="0"/>
    <x v="0"/>
    <x v="1"/>
    <x v="0"/>
    <x v="5"/>
    <n v="32.799999999999997"/>
    <n v="10"/>
    <n v="16.399999999999999"/>
    <x v="614"/>
    <x v="74"/>
    <x v="397"/>
    <x v="0"/>
    <n v="328"/>
    <n v="4.7619047620000003"/>
    <n v="16.399999999999999"/>
    <n v="6.2"/>
  </r>
  <r>
    <s v="246-11-3901"/>
    <x v="0"/>
    <x v="0"/>
    <x v="1"/>
    <x v="1"/>
    <x v="5"/>
    <n v="32.799999999999997"/>
    <n v="10"/>
    <n v="16.399999999999999"/>
    <x v="614"/>
    <x v="74"/>
    <x v="397"/>
    <x v="0"/>
    <n v="328"/>
    <n v="4.7619047620000003"/>
    <n v="16.399999999999999"/>
    <n v="6.2"/>
  </r>
  <r>
    <s v="895-03-6665"/>
    <x v="2"/>
    <x v="0"/>
    <x v="1"/>
    <x v="1"/>
    <x v="2"/>
    <n v="36.51"/>
    <n v="9"/>
    <n v="16.429500000000001"/>
    <x v="615"/>
    <x v="59"/>
    <x v="398"/>
    <x v="0"/>
    <n v="328.59"/>
    <n v="4.7619047620000003"/>
    <n v="16.429500000000001"/>
    <n v="4.2"/>
  </r>
  <r>
    <s v="289-15-7034"/>
    <x v="0"/>
    <x v="0"/>
    <x v="0"/>
    <x v="0"/>
    <x v="0"/>
    <n v="82.33"/>
    <n v="4"/>
    <n v="16.466000000000001"/>
    <x v="616"/>
    <x v="68"/>
    <x v="209"/>
    <x v="0"/>
    <n v="329.32"/>
    <n v="4.7619047620000003"/>
    <n v="16.466000000000001"/>
    <n v="7.5"/>
  </r>
  <r>
    <s v="819-53-1369"/>
    <x v="1"/>
    <x v="0"/>
    <x v="0"/>
    <x v="0"/>
    <x v="0"/>
    <n v="82.33"/>
    <n v="4"/>
    <n v="16.466000000000001"/>
    <x v="616"/>
    <x v="68"/>
    <x v="209"/>
    <x v="2"/>
    <n v="329.32"/>
    <n v="4.7619047620000003"/>
    <n v="16.466000000000001"/>
    <n v="7.5"/>
  </r>
  <r>
    <s v="554-22-4186"/>
    <x v="1"/>
    <x v="0"/>
    <x v="0"/>
    <x v="0"/>
    <x v="2"/>
    <n v="82.33"/>
    <n v="4"/>
    <n v="16.466000000000001"/>
    <x v="616"/>
    <x v="68"/>
    <x v="209"/>
    <x v="1"/>
    <n v="329.32"/>
    <n v="4.7619047620000003"/>
    <n v="16.466000000000001"/>
    <n v="7.5"/>
  </r>
  <r>
    <s v="257-73-1380"/>
    <x v="0"/>
    <x v="0"/>
    <x v="0"/>
    <x v="0"/>
    <x v="0"/>
    <n v="82.93"/>
    <n v="4"/>
    <n v="16.585999999999999"/>
    <x v="617"/>
    <x v="84"/>
    <x v="399"/>
    <x v="1"/>
    <n v="331.72"/>
    <n v="4.7619047620000003"/>
    <n v="16.585999999999999"/>
    <n v="9.6"/>
  </r>
  <r>
    <s v="501-26-1784"/>
    <x v="0"/>
    <x v="0"/>
    <x v="0"/>
    <x v="0"/>
    <x v="0"/>
    <n v="82.93"/>
    <n v="4"/>
    <n v="16.585999999999999"/>
    <x v="617"/>
    <x v="84"/>
    <x v="399"/>
    <x v="1"/>
    <n v="331.72"/>
    <n v="4.7619047620000003"/>
    <n v="16.585999999999999"/>
    <n v="9.6"/>
  </r>
  <r>
    <s v="448-75-8539"/>
    <x v="2"/>
    <x v="1"/>
    <x v="0"/>
    <x v="0"/>
    <x v="2"/>
    <n v="33.21"/>
    <n v="10"/>
    <n v="16.605"/>
    <x v="618"/>
    <x v="3"/>
    <x v="400"/>
    <x v="0"/>
    <n v="332.1"/>
    <n v="4.7619047620000003"/>
    <n v="16.605"/>
    <n v="6"/>
  </r>
  <r>
    <s v="490-95-0021"/>
    <x v="2"/>
    <x v="1"/>
    <x v="0"/>
    <x v="1"/>
    <x v="2"/>
    <n v="33.21"/>
    <n v="10"/>
    <n v="16.605"/>
    <x v="618"/>
    <x v="3"/>
    <x v="400"/>
    <x v="1"/>
    <n v="332.1"/>
    <n v="4.7619047620000003"/>
    <n v="16.605"/>
    <n v="6"/>
  </r>
  <r>
    <s v="569-80-2925"/>
    <x v="0"/>
    <x v="1"/>
    <x v="1"/>
    <x v="0"/>
    <x v="2"/>
    <n v="33.21"/>
    <n v="10"/>
    <n v="16.605"/>
    <x v="618"/>
    <x v="3"/>
    <x v="400"/>
    <x v="0"/>
    <n v="332.1"/>
    <n v="4.7619047620000003"/>
    <n v="16.605"/>
    <n v="6"/>
  </r>
  <r>
    <s v="899-18-9324"/>
    <x v="0"/>
    <x v="1"/>
    <x v="1"/>
    <x v="0"/>
    <x v="2"/>
    <n v="33.21"/>
    <n v="10"/>
    <n v="16.605"/>
    <x v="618"/>
    <x v="3"/>
    <x v="400"/>
    <x v="0"/>
    <n v="332.1"/>
    <n v="4.7619047620000003"/>
    <n v="16.605"/>
    <n v="6"/>
  </r>
  <r>
    <s v="498-41-1961"/>
    <x v="2"/>
    <x v="1"/>
    <x v="1"/>
    <x v="0"/>
    <x v="4"/>
    <n v="66.680000000000007"/>
    <n v="5"/>
    <n v="16.670000000000002"/>
    <x v="619"/>
    <x v="76"/>
    <x v="401"/>
    <x v="0"/>
    <n v="333.4"/>
    <n v="4.7619047620000003"/>
    <n v="16.670000000000002"/>
    <n v="7.6"/>
  </r>
  <r>
    <s v="803-83-5989"/>
    <x v="0"/>
    <x v="0"/>
    <x v="1"/>
    <x v="0"/>
    <x v="3"/>
    <n v="55.73"/>
    <n v="6"/>
    <n v="16.719000000000001"/>
    <x v="620"/>
    <x v="49"/>
    <x v="256"/>
    <x v="1"/>
    <n v="334.38"/>
    <n v="4.7619047620000003"/>
    <n v="16.719000000000001"/>
    <n v="7"/>
  </r>
  <r>
    <s v="563-47-4072"/>
    <x v="0"/>
    <x v="1"/>
    <x v="1"/>
    <x v="1"/>
    <x v="4"/>
    <n v="55.81"/>
    <n v="6"/>
    <n v="16.742999999999999"/>
    <x v="621"/>
    <x v="81"/>
    <x v="173"/>
    <x v="0"/>
    <n v="334.86"/>
    <n v="4.7619047620000003"/>
    <n v="16.742999999999999"/>
    <n v="9.9"/>
  </r>
  <r>
    <s v="422-29-8786"/>
    <x v="1"/>
    <x v="1"/>
    <x v="1"/>
    <x v="1"/>
    <x v="3"/>
    <n v="67.09"/>
    <n v="5"/>
    <n v="16.772500000000001"/>
    <x v="622"/>
    <x v="43"/>
    <x v="361"/>
    <x v="0"/>
    <n v="335.45"/>
    <n v="4.7619047620000003"/>
    <n v="16.772500000000001"/>
    <n v="9.1"/>
  </r>
  <r>
    <s v="109-10-7512"/>
    <x v="0"/>
    <x v="1"/>
    <x v="1"/>
    <x v="0"/>
    <x v="3"/>
    <n v="67.09"/>
    <n v="5"/>
    <n v="16.772500000000001"/>
    <x v="622"/>
    <x v="43"/>
    <x v="361"/>
    <x v="0"/>
    <n v="335.45"/>
    <n v="4.7619047620000003"/>
    <n v="16.772500000000001"/>
    <n v="9.1"/>
  </r>
  <r>
    <s v="566-19-5475"/>
    <x v="2"/>
    <x v="1"/>
    <x v="1"/>
    <x v="0"/>
    <x v="1"/>
    <n v="47.97"/>
    <n v="7"/>
    <n v="16.7895"/>
    <x v="623"/>
    <x v="65"/>
    <x v="402"/>
    <x v="0"/>
    <n v="335.79"/>
    <n v="4.7619047620000003"/>
    <n v="16.7895"/>
    <n v="6.2"/>
  </r>
  <r>
    <s v="149-15-7606"/>
    <x v="0"/>
    <x v="1"/>
    <x v="0"/>
    <x v="0"/>
    <x v="0"/>
    <n v="37.32"/>
    <n v="9"/>
    <n v="16.794"/>
    <x v="624"/>
    <x v="37"/>
    <x v="41"/>
    <x v="1"/>
    <n v="335.88"/>
    <n v="4.7619047620000003"/>
    <n v="16.794"/>
    <n v="5.0999999999999996"/>
  </r>
  <r>
    <s v="841-44-8548"/>
    <x v="2"/>
    <x v="1"/>
    <x v="0"/>
    <x v="0"/>
    <x v="0"/>
    <n v="37.32"/>
    <n v="9"/>
    <n v="16.794"/>
    <x v="624"/>
    <x v="37"/>
    <x v="41"/>
    <x v="1"/>
    <n v="335.88"/>
    <n v="4.7619047620000003"/>
    <n v="16.794"/>
    <n v="5.0999999999999996"/>
  </r>
  <r>
    <s v="598-47-9715"/>
    <x v="0"/>
    <x v="0"/>
    <x v="1"/>
    <x v="0"/>
    <x v="5"/>
    <n v="84.07"/>
    <n v="4"/>
    <n v="16.814"/>
    <x v="625"/>
    <x v="33"/>
    <x v="329"/>
    <x v="1"/>
    <n v="336.28"/>
    <n v="4.7619047620000003"/>
    <n v="16.814"/>
    <n v="4.4000000000000004"/>
  </r>
  <r>
    <s v="950-84-3004"/>
    <x v="0"/>
    <x v="1"/>
    <x v="1"/>
    <x v="0"/>
    <x v="2"/>
    <n v="84.07"/>
    <n v="4"/>
    <n v="16.814"/>
    <x v="625"/>
    <x v="33"/>
    <x v="329"/>
    <x v="1"/>
    <n v="336.28"/>
    <n v="4.7619047620000003"/>
    <n v="16.814"/>
    <n v="4.4000000000000004"/>
  </r>
  <r>
    <s v="345-40-6775"/>
    <x v="0"/>
    <x v="0"/>
    <x v="1"/>
    <x v="0"/>
    <x v="5"/>
    <n v="84.07"/>
    <n v="4"/>
    <n v="16.814"/>
    <x v="625"/>
    <x v="33"/>
    <x v="329"/>
    <x v="1"/>
    <n v="336.28"/>
    <n v="4.7619047620000003"/>
    <n v="16.814"/>
    <n v="11.4"/>
  </r>
  <r>
    <s v="716-87-5921"/>
    <x v="2"/>
    <x v="1"/>
    <x v="1"/>
    <x v="0"/>
    <x v="0"/>
    <n v="67.27"/>
    <n v="5"/>
    <n v="16.817499999999999"/>
    <x v="626"/>
    <x v="46"/>
    <x v="189"/>
    <x v="0"/>
    <n v="336.35"/>
    <n v="4.7619047620000003"/>
    <n v="16.817499999999999"/>
    <n v="6.9"/>
  </r>
  <r>
    <s v="741-73-3559"/>
    <x v="0"/>
    <x v="1"/>
    <x v="1"/>
    <x v="0"/>
    <x v="0"/>
    <n v="67.27"/>
    <n v="5"/>
    <n v="16.817499999999999"/>
    <x v="626"/>
    <x v="46"/>
    <x v="189"/>
    <x v="0"/>
    <n v="336.35"/>
    <n v="4.7619047620000003"/>
    <n v="16.817499999999999"/>
    <n v="6.9"/>
  </r>
  <r>
    <s v="783-09-1637"/>
    <x v="2"/>
    <x v="1"/>
    <x v="1"/>
    <x v="0"/>
    <x v="0"/>
    <n v="67.430000000000007"/>
    <n v="5"/>
    <n v="16.857500000000002"/>
    <x v="627"/>
    <x v="37"/>
    <x v="403"/>
    <x v="1"/>
    <n v="337.15"/>
    <n v="4.7619047620000003"/>
    <n v="16.857500000000002"/>
    <n v="6.3"/>
  </r>
  <r>
    <s v="134-54-4720"/>
    <x v="0"/>
    <x v="1"/>
    <x v="1"/>
    <x v="1"/>
    <x v="5"/>
    <n v="42.42"/>
    <n v="8"/>
    <n v="16.968"/>
    <x v="628"/>
    <x v="15"/>
    <x v="150"/>
    <x v="1"/>
    <n v="339.36"/>
    <n v="4.7619047620000003"/>
    <n v="16.968"/>
    <n v="5.7"/>
  </r>
  <r>
    <s v="779-95-2189"/>
    <x v="2"/>
    <x v="1"/>
    <x v="1"/>
    <x v="0"/>
    <x v="5"/>
    <n v="42.42"/>
    <n v="8"/>
    <n v="16.968"/>
    <x v="628"/>
    <x v="15"/>
    <x v="150"/>
    <x v="1"/>
    <n v="339.36"/>
    <n v="4.7619047620000003"/>
    <n v="16.968"/>
    <n v="5.7"/>
  </r>
  <r>
    <s v="283-79-9594"/>
    <x v="2"/>
    <x v="1"/>
    <x v="1"/>
    <x v="1"/>
    <x v="2"/>
    <n v="48.51"/>
    <n v="7"/>
    <n v="16.9785"/>
    <x v="629"/>
    <x v="6"/>
    <x v="260"/>
    <x v="0"/>
    <n v="339.57"/>
    <n v="4.7619047620000003"/>
    <n v="16.9785"/>
    <n v="5.2"/>
  </r>
  <r>
    <s v="308-43-3062"/>
    <x v="2"/>
    <x v="1"/>
    <x v="1"/>
    <x v="1"/>
    <x v="2"/>
    <n v="48.51"/>
    <n v="7"/>
    <n v="16.9785"/>
    <x v="629"/>
    <x v="6"/>
    <x v="260"/>
    <x v="0"/>
    <n v="339.57"/>
    <n v="4.7619047620000003"/>
    <n v="16.9785"/>
    <n v="5.2"/>
  </r>
  <r>
    <s v="225-67-9377"/>
    <x v="1"/>
    <x v="1"/>
    <x v="1"/>
    <x v="1"/>
    <x v="2"/>
    <n v="48.51"/>
    <n v="7"/>
    <n v="16.9785"/>
    <x v="629"/>
    <x v="6"/>
    <x v="260"/>
    <x v="1"/>
    <n v="339.57"/>
    <n v="4.7619047620000003"/>
    <n v="16.9785"/>
    <n v="5.2"/>
  </r>
  <r>
    <s v="538-37-0199"/>
    <x v="2"/>
    <x v="1"/>
    <x v="1"/>
    <x v="1"/>
    <x v="2"/>
    <n v="48.51"/>
    <n v="7"/>
    <n v="16.9785"/>
    <x v="629"/>
    <x v="6"/>
    <x v="260"/>
    <x v="0"/>
    <n v="339.57"/>
    <n v="4.7619047620000003"/>
    <n v="16.9785"/>
    <n v="5.2"/>
  </r>
  <r>
    <s v="505-02-0892"/>
    <x v="2"/>
    <x v="1"/>
    <x v="0"/>
    <x v="0"/>
    <x v="4"/>
    <n v="42.57"/>
    <n v="8"/>
    <n v="17.027999999999999"/>
    <x v="630"/>
    <x v="42"/>
    <x v="226"/>
    <x v="1"/>
    <n v="340.56"/>
    <n v="4.7619047620000003"/>
    <n v="17.027999999999999"/>
    <n v="5.6"/>
  </r>
  <r>
    <s v="244-08-0162"/>
    <x v="0"/>
    <x v="1"/>
    <x v="1"/>
    <x v="1"/>
    <x v="4"/>
    <n v="34.21"/>
    <n v="10"/>
    <n v="17.105"/>
    <x v="631"/>
    <x v="44"/>
    <x v="404"/>
    <x v="0"/>
    <n v="342.1"/>
    <n v="4.7619047620000003"/>
    <n v="17.105"/>
    <n v="5.0999999999999996"/>
  </r>
  <r>
    <s v="701-69-8742"/>
    <x v="0"/>
    <x v="1"/>
    <x v="1"/>
    <x v="0"/>
    <x v="0"/>
    <n v="34.369999999999997"/>
    <n v="10"/>
    <n v="17.184999999999999"/>
    <x v="632"/>
    <x v="29"/>
    <x v="43"/>
    <x v="1"/>
    <n v="343.7"/>
    <n v="4.7619047620000003"/>
    <n v="17.184999999999999"/>
    <n v="6.7"/>
  </r>
  <r>
    <s v="769-99-7525"/>
    <x v="2"/>
    <x v="1"/>
    <x v="1"/>
    <x v="0"/>
    <x v="0"/>
    <n v="34.369999999999997"/>
    <n v="10"/>
    <n v="17.184999999999999"/>
    <x v="632"/>
    <x v="29"/>
    <x v="43"/>
    <x v="1"/>
    <n v="343.7"/>
    <n v="4.7619047620000003"/>
    <n v="17.184999999999999"/>
    <n v="6.7"/>
  </r>
  <r>
    <s v="213-52-3294"/>
    <x v="0"/>
    <x v="0"/>
    <x v="1"/>
    <x v="0"/>
    <x v="2"/>
    <n v="57.29"/>
    <n v="6"/>
    <n v="17.187000000000001"/>
    <x v="633"/>
    <x v="78"/>
    <x v="394"/>
    <x v="1"/>
    <n v="343.74"/>
    <n v="4.7619047620000003"/>
    <n v="17.187000000000001"/>
    <n v="5.9"/>
  </r>
  <r>
    <s v="500-02-2261"/>
    <x v="0"/>
    <x v="0"/>
    <x v="1"/>
    <x v="1"/>
    <x v="2"/>
    <n v="57.29"/>
    <n v="6"/>
    <n v="17.187000000000001"/>
    <x v="633"/>
    <x v="78"/>
    <x v="394"/>
    <x v="0"/>
    <n v="343.74"/>
    <n v="4.7619047620000003"/>
    <n v="17.187000000000001"/>
    <n v="5.9"/>
  </r>
  <r>
    <s v="153-34-7246"/>
    <x v="0"/>
    <x v="0"/>
    <x v="1"/>
    <x v="1"/>
    <x v="2"/>
    <n v="43.18"/>
    <n v="8"/>
    <n v="17.271999999999998"/>
    <x v="634"/>
    <x v="35"/>
    <x v="217"/>
    <x v="2"/>
    <n v="345.44"/>
    <n v="4.7619047620000003"/>
    <n v="17.271999999999998"/>
    <n v="8.3000000000000007"/>
  </r>
  <r>
    <s v="894-41-5205"/>
    <x v="0"/>
    <x v="1"/>
    <x v="1"/>
    <x v="0"/>
    <x v="2"/>
    <n v="43.18"/>
    <n v="8"/>
    <n v="17.271999999999998"/>
    <x v="634"/>
    <x v="35"/>
    <x v="217"/>
    <x v="2"/>
    <n v="345.44"/>
    <n v="4.7619047620000003"/>
    <n v="17.271999999999998"/>
    <n v="8.3000000000000007"/>
  </r>
  <r>
    <s v="234-36-2483"/>
    <x v="2"/>
    <x v="1"/>
    <x v="1"/>
    <x v="0"/>
    <x v="4"/>
    <n v="57.59"/>
    <n v="6"/>
    <n v="17.277000000000001"/>
    <x v="635"/>
    <x v="74"/>
    <x v="358"/>
    <x v="0"/>
    <n v="345.54"/>
    <n v="4.7619047620000003"/>
    <n v="17.277000000000001"/>
    <n v="5.0999999999999996"/>
  </r>
  <r>
    <s v="633-44-8566"/>
    <x v="1"/>
    <x v="2"/>
    <x v="0"/>
    <x v="0"/>
    <x v="2"/>
    <n v="49.38"/>
    <n v="7"/>
    <n v="17.283000000000001"/>
    <x v="636"/>
    <x v="82"/>
    <x v="308"/>
    <x v="2"/>
    <n v="345.66"/>
    <n v="4.7619047620000003"/>
    <n v="17.283000000000001"/>
    <n v="7.3"/>
  </r>
  <r>
    <s v="645-18-7653"/>
    <x v="1"/>
    <x v="2"/>
    <x v="0"/>
    <x v="0"/>
    <x v="2"/>
    <n v="49.38"/>
    <n v="7"/>
    <n v="17.283000000000001"/>
    <x v="636"/>
    <x v="82"/>
    <x v="308"/>
    <x v="2"/>
    <n v="345.66"/>
    <n v="4.7619047620000003"/>
    <n v="17.283000000000001"/>
    <n v="7.3"/>
  </r>
  <r>
    <s v="701-68-6618"/>
    <x v="1"/>
    <x v="0"/>
    <x v="0"/>
    <x v="0"/>
    <x v="2"/>
    <n v="49.38"/>
    <n v="7"/>
    <n v="17.283000000000001"/>
    <x v="636"/>
    <x v="82"/>
    <x v="308"/>
    <x v="2"/>
    <n v="345.66"/>
    <n v="4.7619047620000003"/>
    <n v="17.283000000000001"/>
    <n v="11.5"/>
  </r>
  <r>
    <s v="888-12-1886"/>
    <x v="1"/>
    <x v="0"/>
    <x v="0"/>
    <x v="0"/>
    <x v="2"/>
    <n v="49.38"/>
    <n v="7"/>
    <n v="17.283000000000001"/>
    <x v="636"/>
    <x v="82"/>
    <x v="308"/>
    <x v="2"/>
    <n v="345.66"/>
    <n v="4.7619047620000003"/>
    <n v="17.283000000000001"/>
    <n v="11.6"/>
  </r>
  <r>
    <s v="692-27-8933"/>
    <x v="2"/>
    <x v="1"/>
    <x v="1"/>
    <x v="1"/>
    <x v="0"/>
    <n v="57.95"/>
    <n v="6"/>
    <n v="17.385000000000002"/>
    <x v="637"/>
    <x v="49"/>
    <x v="313"/>
    <x v="0"/>
    <n v="347.7"/>
    <n v="4.7619047620000003"/>
    <n v="17.385000000000002"/>
    <n v="5.2"/>
  </r>
  <r>
    <s v="288-71-8297"/>
    <x v="1"/>
    <x v="2"/>
    <x v="0"/>
    <x v="0"/>
    <x v="0"/>
    <n v="38.72"/>
    <n v="9"/>
    <n v="17.423999999999999"/>
    <x v="638"/>
    <x v="34"/>
    <x v="405"/>
    <x v="0"/>
    <n v="348.48"/>
    <n v="4.7619047620000003"/>
    <n v="17.423999999999999"/>
    <n v="4.2"/>
  </r>
  <r>
    <s v="509-29-3912"/>
    <x v="0"/>
    <x v="2"/>
    <x v="0"/>
    <x v="1"/>
    <x v="0"/>
    <n v="38.72"/>
    <n v="9"/>
    <n v="17.423999999999999"/>
    <x v="638"/>
    <x v="34"/>
    <x v="405"/>
    <x v="0"/>
    <n v="348.48"/>
    <n v="4.7619047620000003"/>
    <n v="17.423999999999999"/>
    <n v="4.2"/>
  </r>
  <r>
    <s v="328-17-4521"/>
    <x v="1"/>
    <x v="2"/>
    <x v="0"/>
    <x v="0"/>
    <x v="2"/>
    <n v="38.72"/>
    <n v="9"/>
    <n v="17.423999999999999"/>
    <x v="638"/>
    <x v="34"/>
    <x v="405"/>
    <x v="1"/>
    <n v="348.48"/>
    <n v="4.7619047620000003"/>
    <n v="17.423999999999999"/>
    <n v="4.2"/>
  </r>
  <r>
    <s v="119-66-1324"/>
    <x v="1"/>
    <x v="2"/>
    <x v="1"/>
    <x v="0"/>
    <x v="2"/>
    <n v="58.26"/>
    <n v="6"/>
    <n v="17.478000000000002"/>
    <x v="639"/>
    <x v="70"/>
    <x v="348"/>
    <x v="0"/>
    <n v="349.56"/>
    <n v="4.7619047620000003"/>
    <n v="17.478000000000002"/>
    <n v="9.9"/>
  </r>
  <r>
    <s v="212-62-1842"/>
    <x v="1"/>
    <x v="2"/>
    <x v="1"/>
    <x v="0"/>
    <x v="2"/>
    <n v="58.26"/>
    <n v="6"/>
    <n v="17.478000000000002"/>
    <x v="639"/>
    <x v="70"/>
    <x v="348"/>
    <x v="0"/>
    <n v="349.56"/>
    <n v="4.7619047620000003"/>
    <n v="17.478000000000002"/>
    <n v="9.9"/>
  </r>
  <r>
    <s v="249-42-3782"/>
    <x v="1"/>
    <x v="2"/>
    <x v="1"/>
    <x v="0"/>
    <x v="4"/>
    <n v="70.010000000000005"/>
    <n v="5"/>
    <n v="17.502500000000001"/>
    <x v="640"/>
    <x v="43"/>
    <x v="212"/>
    <x v="1"/>
    <n v="350.05"/>
    <n v="4.7619047620000003"/>
    <n v="17.502500000000001"/>
    <n v="5.5"/>
  </r>
  <r>
    <s v="662-47-5456"/>
    <x v="0"/>
    <x v="1"/>
    <x v="0"/>
    <x v="0"/>
    <x v="1"/>
    <n v="35.19"/>
    <n v="10"/>
    <n v="17.594999999999999"/>
    <x v="641"/>
    <x v="16"/>
    <x v="374"/>
    <x v="2"/>
    <n v="351.9"/>
    <n v="4.7619047620000003"/>
    <n v="17.594999999999999"/>
    <n v="8.4"/>
  </r>
  <r>
    <s v="722-47-8756"/>
    <x v="0"/>
    <x v="0"/>
    <x v="0"/>
    <x v="0"/>
    <x v="1"/>
    <n v="35.19"/>
    <n v="10"/>
    <n v="17.594999999999999"/>
    <x v="641"/>
    <x v="16"/>
    <x v="374"/>
    <x v="2"/>
    <n v="351.9"/>
    <n v="4.7619047620000003"/>
    <n v="17.594999999999999"/>
    <n v="11.7"/>
  </r>
  <r>
    <s v="468-99-7231"/>
    <x v="0"/>
    <x v="1"/>
    <x v="1"/>
    <x v="1"/>
    <x v="3"/>
    <n v="44.01"/>
    <n v="8"/>
    <n v="17.603999999999999"/>
    <x v="642"/>
    <x v="18"/>
    <x v="186"/>
    <x v="0"/>
    <n v="352.08"/>
    <n v="4.7619047620000003"/>
    <n v="17.603999999999999"/>
    <n v="8.8000000000000007"/>
  </r>
  <r>
    <s v="368-11-7125"/>
    <x v="2"/>
    <x v="1"/>
    <x v="0"/>
    <x v="0"/>
    <x v="1"/>
    <n v="58.75"/>
    <n v="6"/>
    <n v="17.625"/>
    <x v="643"/>
    <x v="73"/>
    <x v="106"/>
    <x v="0"/>
    <n v="352.5"/>
    <n v="4.7619047620000003"/>
    <n v="17.625"/>
    <n v="5.9"/>
  </r>
  <r>
    <s v="725-67-2480"/>
    <x v="2"/>
    <x v="1"/>
    <x v="0"/>
    <x v="1"/>
    <x v="1"/>
    <n v="58.75"/>
    <n v="6"/>
    <n v="17.625"/>
    <x v="643"/>
    <x v="73"/>
    <x v="106"/>
    <x v="2"/>
    <n v="352.5"/>
    <n v="4.7619047620000003"/>
    <n v="17.625"/>
    <n v="5.9"/>
  </r>
  <r>
    <s v="638-77-3972"/>
    <x v="0"/>
    <x v="1"/>
    <x v="0"/>
    <x v="0"/>
    <x v="2"/>
    <n v="58.75"/>
    <n v="6"/>
    <n v="17.625"/>
    <x v="643"/>
    <x v="73"/>
    <x v="106"/>
    <x v="0"/>
    <n v="352.5"/>
    <n v="4.7619047620000003"/>
    <n v="17.625"/>
    <n v="5.9"/>
  </r>
  <r>
    <s v="731-14-2199"/>
    <x v="1"/>
    <x v="1"/>
    <x v="0"/>
    <x v="0"/>
    <x v="3"/>
    <n v="35.54"/>
    <n v="10"/>
    <n v="17.77"/>
    <x v="644"/>
    <x v="72"/>
    <x v="231"/>
    <x v="1"/>
    <n v="355.4"/>
    <n v="4.7619047620000003"/>
    <n v="17.77"/>
    <n v="7"/>
  </r>
  <r>
    <s v="564-92-5214"/>
    <x v="2"/>
    <x v="1"/>
    <x v="0"/>
    <x v="1"/>
    <x v="2"/>
    <n v="89.14"/>
    <n v="4"/>
    <n v="17.827999999999999"/>
    <x v="645"/>
    <x v="65"/>
    <x v="32"/>
    <x v="2"/>
    <n v="356.56"/>
    <n v="4.7619047620000003"/>
    <n v="17.827999999999999"/>
    <n v="7.8"/>
  </r>
  <r>
    <s v="889-04-9723"/>
    <x v="2"/>
    <x v="1"/>
    <x v="1"/>
    <x v="1"/>
    <x v="2"/>
    <n v="89.14"/>
    <n v="4"/>
    <n v="17.827999999999999"/>
    <x v="645"/>
    <x v="65"/>
    <x v="32"/>
    <x v="2"/>
    <n v="356.56"/>
    <n v="4.7619047620000003"/>
    <n v="17.827999999999999"/>
    <n v="7.8"/>
  </r>
  <r>
    <s v="397-25-8725"/>
    <x v="1"/>
    <x v="1"/>
    <x v="0"/>
    <x v="1"/>
    <x v="4"/>
    <n v="39.619999999999997"/>
    <n v="9"/>
    <n v="17.829000000000001"/>
    <x v="646"/>
    <x v="75"/>
    <x v="406"/>
    <x v="0"/>
    <n v="356.58"/>
    <n v="4.7619047620000003"/>
    <n v="17.829000000000001"/>
    <n v="6.8"/>
  </r>
  <r>
    <s v="368-86-9199"/>
    <x v="0"/>
    <x v="1"/>
    <x v="0"/>
    <x v="0"/>
    <x v="4"/>
    <n v="39.619999999999997"/>
    <n v="9"/>
    <n v="17.829000000000001"/>
    <x v="646"/>
    <x v="75"/>
    <x v="406"/>
    <x v="0"/>
    <n v="356.58"/>
    <n v="4.7619047620000003"/>
    <n v="17.829000000000001"/>
    <n v="6.8"/>
  </r>
  <r>
    <s v="420-11-4919"/>
    <x v="0"/>
    <x v="0"/>
    <x v="0"/>
    <x v="0"/>
    <x v="2"/>
    <n v="71.39"/>
    <n v="5"/>
    <n v="17.8475"/>
    <x v="647"/>
    <x v="58"/>
    <x v="277"/>
    <x v="0"/>
    <n v="356.95"/>
    <n v="4.7619047620000003"/>
    <n v="17.8475"/>
    <n v="5.5"/>
  </r>
  <r>
    <s v="583-61-4387"/>
    <x v="0"/>
    <x v="0"/>
    <x v="0"/>
    <x v="1"/>
    <x v="2"/>
    <n v="71.39"/>
    <n v="5"/>
    <n v="17.8475"/>
    <x v="647"/>
    <x v="58"/>
    <x v="277"/>
    <x v="2"/>
    <n v="356.95"/>
    <n v="4.7619047620000003"/>
    <n v="17.8475"/>
    <n v="5.5"/>
  </r>
  <r>
    <s v="180-19-1430"/>
    <x v="0"/>
    <x v="0"/>
    <x v="0"/>
    <x v="0"/>
    <x v="2"/>
    <n v="71.39"/>
    <n v="5"/>
    <n v="17.8475"/>
    <x v="647"/>
    <x v="58"/>
    <x v="277"/>
    <x v="0"/>
    <n v="356.95"/>
    <n v="4.7619047620000003"/>
    <n v="17.8475"/>
    <n v="5.5"/>
  </r>
  <r>
    <s v="533-66-5566"/>
    <x v="2"/>
    <x v="1"/>
    <x v="1"/>
    <x v="1"/>
    <x v="3"/>
    <n v="51.07"/>
    <n v="7"/>
    <n v="17.874500000000001"/>
    <x v="648"/>
    <x v="22"/>
    <x v="276"/>
    <x v="0"/>
    <n v="357.49"/>
    <n v="4.7619047620000003"/>
    <n v="17.874500000000001"/>
    <n v="7"/>
  </r>
  <r>
    <s v="258-62-9963"/>
    <x v="0"/>
    <x v="0"/>
    <x v="0"/>
    <x v="0"/>
    <x v="0"/>
    <n v="71.92"/>
    <n v="5"/>
    <n v="17.98"/>
    <x v="649"/>
    <x v="77"/>
    <x v="10"/>
    <x v="2"/>
    <n v="359.6"/>
    <n v="4.7619047620000003"/>
    <n v="17.98"/>
    <n v="4.3"/>
  </r>
  <r>
    <s v="600-38-9738"/>
    <x v="0"/>
    <x v="0"/>
    <x v="0"/>
    <x v="0"/>
    <x v="0"/>
    <n v="71.92"/>
    <n v="5"/>
    <n v="17.98"/>
    <x v="649"/>
    <x v="77"/>
    <x v="10"/>
    <x v="0"/>
    <n v="359.6"/>
    <n v="4.7619047620000003"/>
    <n v="17.98"/>
    <n v="4.3"/>
  </r>
  <r>
    <s v="453-10-3657"/>
    <x v="0"/>
    <x v="0"/>
    <x v="0"/>
    <x v="0"/>
    <x v="0"/>
    <n v="71.92"/>
    <n v="5"/>
    <n v="17.98"/>
    <x v="649"/>
    <x v="77"/>
    <x v="10"/>
    <x v="0"/>
    <n v="359.6"/>
    <n v="4.7619047620000003"/>
    <n v="17.98"/>
    <n v="11.8"/>
  </r>
  <r>
    <s v="834-61-8124"/>
    <x v="1"/>
    <x v="1"/>
    <x v="1"/>
    <x v="0"/>
    <x v="5"/>
    <n v="51.69"/>
    <n v="7"/>
    <n v="18.0915"/>
    <x v="650"/>
    <x v="1"/>
    <x v="407"/>
    <x v="0"/>
    <n v="361.83"/>
    <n v="4.7619047620000003"/>
    <n v="18.0915"/>
    <n v="5.5"/>
  </r>
  <r>
    <s v="888-61-3230"/>
    <x v="1"/>
    <x v="1"/>
    <x v="1"/>
    <x v="0"/>
    <x v="2"/>
    <n v="51.69"/>
    <n v="7"/>
    <n v="18.0915"/>
    <x v="650"/>
    <x v="1"/>
    <x v="407"/>
    <x v="0"/>
    <n v="361.83"/>
    <n v="4.7619047620000003"/>
    <n v="18.0915"/>
    <n v="5.5"/>
  </r>
  <r>
    <s v="484-22-8230"/>
    <x v="0"/>
    <x v="0"/>
    <x v="0"/>
    <x v="1"/>
    <x v="1"/>
    <n v="51.89"/>
    <n v="7"/>
    <n v="18.1615"/>
    <x v="651"/>
    <x v="3"/>
    <x v="363"/>
    <x v="0"/>
    <n v="363.23"/>
    <n v="4.7619047620000003"/>
    <n v="18.1615"/>
    <n v="4.5"/>
  </r>
  <r>
    <s v="873-42-3361"/>
    <x v="0"/>
    <x v="1"/>
    <x v="0"/>
    <x v="0"/>
    <x v="2"/>
    <n v="51.89"/>
    <n v="7"/>
    <n v="18.1615"/>
    <x v="651"/>
    <x v="3"/>
    <x v="363"/>
    <x v="0"/>
    <n v="363.23"/>
    <n v="4.7619047620000003"/>
    <n v="18.1615"/>
    <n v="4.5"/>
  </r>
  <r>
    <s v="299-29-0180"/>
    <x v="2"/>
    <x v="1"/>
    <x v="0"/>
    <x v="1"/>
    <x v="3"/>
    <n v="52.18"/>
    <n v="7"/>
    <n v="18.263000000000002"/>
    <x v="652"/>
    <x v="8"/>
    <x v="278"/>
    <x v="0"/>
    <n v="365.26"/>
    <n v="4.7619047620000003"/>
    <n v="18.263000000000002"/>
    <n v="9.3000000000000007"/>
  </r>
  <r>
    <s v="757-87-2679"/>
    <x v="1"/>
    <x v="1"/>
    <x v="0"/>
    <x v="1"/>
    <x v="3"/>
    <n v="52.18"/>
    <n v="7"/>
    <n v="18.263000000000002"/>
    <x v="652"/>
    <x v="8"/>
    <x v="278"/>
    <x v="0"/>
    <n v="365.26"/>
    <n v="4.7619047620000003"/>
    <n v="18.263000000000002"/>
    <n v="9.3000000000000007"/>
  </r>
  <r>
    <s v="198-84-7132"/>
    <x v="0"/>
    <x v="1"/>
    <x v="0"/>
    <x v="0"/>
    <x v="1"/>
    <n v="40.61"/>
    <n v="9"/>
    <n v="18.2745"/>
    <x v="653"/>
    <x v="44"/>
    <x v="257"/>
    <x v="0"/>
    <n v="365.49"/>
    <n v="4.7619047620000003"/>
    <n v="18.2745"/>
    <n v="7"/>
  </r>
  <r>
    <s v="481-87-7977"/>
    <x v="2"/>
    <x v="1"/>
    <x v="0"/>
    <x v="0"/>
    <x v="1"/>
    <n v="40.61"/>
    <n v="9"/>
    <n v="18.2745"/>
    <x v="653"/>
    <x v="44"/>
    <x v="257"/>
    <x v="0"/>
    <n v="365.49"/>
    <n v="4.7619047620000003"/>
    <n v="18.2745"/>
    <n v="7"/>
  </r>
  <r>
    <s v="608-96-3517"/>
    <x v="2"/>
    <x v="1"/>
    <x v="0"/>
    <x v="0"/>
    <x v="1"/>
    <n v="91.54"/>
    <n v="4"/>
    <n v="18.308"/>
    <x v="654"/>
    <x v="19"/>
    <x v="66"/>
    <x v="2"/>
    <n v="366.16"/>
    <n v="4.7619047620000003"/>
    <n v="18.308"/>
    <n v="4.8"/>
  </r>
  <r>
    <s v="159-78-9621"/>
    <x v="2"/>
    <x v="1"/>
    <x v="0"/>
    <x v="0"/>
    <x v="1"/>
    <n v="91.54"/>
    <n v="4"/>
    <n v="18.308"/>
    <x v="654"/>
    <x v="19"/>
    <x v="66"/>
    <x v="2"/>
    <n v="366.16"/>
    <n v="4.7619047620000003"/>
    <n v="18.308"/>
    <n v="11.9"/>
  </r>
  <r>
    <s v="775-72-1988"/>
    <x v="2"/>
    <x v="1"/>
    <x v="1"/>
    <x v="0"/>
    <x v="3"/>
    <n v="73.28"/>
    <n v="5"/>
    <n v="18.32"/>
    <x v="655"/>
    <x v="61"/>
    <x v="10"/>
    <x v="1"/>
    <n v="366.4"/>
    <n v="4.7619047620000003"/>
    <n v="18.32"/>
    <n v="8.4"/>
  </r>
  <r>
    <s v="493-65-6248"/>
    <x v="0"/>
    <x v="0"/>
    <x v="0"/>
    <x v="1"/>
    <x v="0"/>
    <n v="36.979999999999997"/>
    <n v="10"/>
    <n v="18.489999999999998"/>
    <x v="656"/>
    <x v="85"/>
    <x v="105"/>
    <x v="2"/>
    <n v="369.8"/>
    <n v="4.7619047620000003"/>
    <n v="18.489999999999998"/>
    <n v="7"/>
  </r>
  <r>
    <s v="897-15-1874"/>
    <x v="0"/>
    <x v="1"/>
    <x v="0"/>
    <x v="0"/>
    <x v="2"/>
    <n v="36.979999999999997"/>
    <n v="10"/>
    <n v="18.489999999999998"/>
    <x v="656"/>
    <x v="85"/>
    <x v="105"/>
    <x v="2"/>
    <n v="369.8"/>
    <n v="4.7619047620000003"/>
    <n v="18.489999999999998"/>
    <n v="7"/>
  </r>
  <r>
    <s v="269-10-8440"/>
    <x v="0"/>
    <x v="2"/>
    <x v="0"/>
    <x v="0"/>
    <x v="4"/>
    <n v="53.17"/>
    <n v="7"/>
    <n v="18.609500000000001"/>
    <x v="657"/>
    <x v="69"/>
    <x v="401"/>
    <x v="0"/>
    <n v="372.19"/>
    <n v="4.7619047620000003"/>
    <n v="18.609500000000001"/>
    <n v="8.9"/>
  </r>
  <r>
    <s v="658-66-3967"/>
    <x v="0"/>
    <x v="1"/>
    <x v="1"/>
    <x v="0"/>
    <x v="4"/>
    <n v="53.19"/>
    <n v="7"/>
    <n v="18.616499999999998"/>
    <x v="658"/>
    <x v="9"/>
    <x v="170"/>
    <x v="0"/>
    <n v="372.33"/>
    <n v="4.7619047620000003"/>
    <n v="18.616499999999998"/>
    <n v="5"/>
  </r>
  <r>
    <s v="173-17-5687"/>
    <x v="0"/>
    <x v="0"/>
    <x v="1"/>
    <x v="0"/>
    <x v="4"/>
    <n v="53.19"/>
    <n v="7"/>
    <n v="18.616499999999998"/>
    <x v="658"/>
    <x v="9"/>
    <x v="170"/>
    <x v="0"/>
    <n v="372.33"/>
    <n v="4.7619047620000003"/>
    <n v="18.616499999999998"/>
    <n v="12"/>
  </r>
  <r>
    <s v="630-74-5166"/>
    <x v="1"/>
    <x v="2"/>
    <x v="1"/>
    <x v="0"/>
    <x v="0"/>
    <n v="62.13"/>
    <n v="6"/>
    <n v="18.638999999999999"/>
    <x v="659"/>
    <x v="10"/>
    <x v="53"/>
    <x v="0"/>
    <n v="372.78"/>
    <n v="4.7619047620000003"/>
    <n v="18.638999999999999"/>
    <n v="7.4"/>
  </r>
  <r>
    <s v="280-28-3641"/>
    <x v="1"/>
    <x v="0"/>
    <x v="1"/>
    <x v="0"/>
    <x v="0"/>
    <n v="62.13"/>
    <n v="6"/>
    <n v="18.638999999999999"/>
    <x v="659"/>
    <x v="10"/>
    <x v="53"/>
    <x v="0"/>
    <n v="372.78"/>
    <n v="4.7619047620000003"/>
    <n v="18.638999999999999"/>
    <n v="12.1"/>
  </r>
  <r>
    <s v="603-07-0961"/>
    <x v="0"/>
    <x v="1"/>
    <x v="1"/>
    <x v="0"/>
    <x v="5"/>
    <n v="74.790000000000006"/>
    <n v="5"/>
    <n v="18.697500000000002"/>
    <x v="660"/>
    <x v="56"/>
    <x v="408"/>
    <x v="0"/>
    <n v="373.95"/>
    <n v="4.7619047620000003"/>
    <n v="18.697500000000002"/>
    <n v="4.9000000000000004"/>
  </r>
  <r>
    <s v="945-86-5062"/>
    <x v="0"/>
    <x v="1"/>
    <x v="0"/>
    <x v="0"/>
    <x v="2"/>
    <n v="74.790000000000006"/>
    <n v="5"/>
    <n v="18.697500000000002"/>
    <x v="660"/>
    <x v="56"/>
    <x v="408"/>
    <x v="0"/>
    <n v="373.95"/>
    <n v="4.7619047620000003"/>
    <n v="18.697500000000002"/>
    <n v="4.9000000000000004"/>
  </r>
  <r>
    <s v="411-82-1719"/>
    <x v="0"/>
    <x v="1"/>
    <x v="1"/>
    <x v="0"/>
    <x v="5"/>
    <n v="74.790000000000006"/>
    <n v="5"/>
    <n v="18.697500000000002"/>
    <x v="660"/>
    <x v="56"/>
    <x v="408"/>
    <x v="0"/>
    <n v="373.95"/>
    <n v="4.7619047620000003"/>
    <n v="18.697500000000002"/>
    <n v="12.2"/>
  </r>
  <r>
    <s v="259-23-1304"/>
    <x v="0"/>
    <x v="0"/>
    <x v="1"/>
    <x v="0"/>
    <x v="1"/>
    <n v="37.549999999999997"/>
    <n v="10"/>
    <n v="18.774999999999999"/>
    <x v="661"/>
    <x v="66"/>
    <x v="409"/>
    <x v="2"/>
    <n v="375.5"/>
    <n v="4.7619047620000003"/>
    <n v="18.774999999999999"/>
    <n v="9.3000000000000007"/>
  </r>
  <r>
    <s v="632-90-0281"/>
    <x v="0"/>
    <x v="1"/>
    <x v="1"/>
    <x v="1"/>
    <x v="1"/>
    <n v="37.549999999999997"/>
    <n v="10"/>
    <n v="18.774999999999999"/>
    <x v="661"/>
    <x v="66"/>
    <x v="409"/>
    <x v="2"/>
    <n v="375.5"/>
    <n v="4.7619047620000003"/>
    <n v="18.774999999999999"/>
    <n v="9.3000000000000007"/>
  </r>
  <r>
    <s v="207-72-3124"/>
    <x v="0"/>
    <x v="0"/>
    <x v="1"/>
    <x v="1"/>
    <x v="1"/>
    <n v="37.549999999999997"/>
    <n v="10"/>
    <n v="18.774999999999999"/>
    <x v="661"/>
    <x v="66"/>
    <x v="409"/>
    <x v="2"/>
    <n v="375.5"/>
    <n v="4.7619047620000003"/>
    <n v="18.774999999999999"/>
    <n v="12.3"/>
  </r>
  <r>
    <s v="235-58-2190"/>
    <x v="1"/>
    <x v="1"/>
    <x v="0"/>
    <x v="0"/>
    <x v="1"/>
    <n v="53.65"/>
    <n v="7"/>
    <n v="18.7775"/>
    <x v="662"/>
    <x v="64"/>
    <x v="410"/>
    <x v="1"/>
    <n v="375.55"/>
    <n v="4.7619047620000003"/>
    <n v="18.7775"/>
    <n v="5.2"/>
  </r>
  <r>
    <s v="559-98-9873"/>
    <x v="0"/>
    <x v="2"/>
    <x v="0"/>
    <x v="1"/>
    <x v="1"/>
    <n v="53.65"/>
    <n v="7"/>
    <n v="18.7775"/>
    <x v="662"/>
    <x v="64"/>
    <x v="410"/>
    <x v="0"/>
    <n v="375.55"/>
    <n v="4.7619047620000003"/>
    <n v="18.7775"/>
    <n v="5.2"/>
  </r>
  <r>
    <s v="132-32-9879"/>
    <x v="2"/>
    <x v="1"/>
    <x v="0"/>
    <x v="0"/>
    <x v="5"/>
    <n v="93.96"/>
    <n v="4"/>
    <n v="18.792000000000002"/>
    <x v="663"/>
    <x v="8"/>
    <x v="269"/>
    <x v="0"/>
    <n v="375.84"/>
    <n v="4.7619047620000003"/>
    <n v="18.792000000000002"/>
    <n v="9.5"/>
  </r>
  <r>
    <s v="731-42-7043"/>
    <x v="2"/>
    <x v="1"/>
    <x v="0"/>
    <x v="0"/>
    <x v="5"/>
    <n v="93.96"/>
    <n v="4"/>
    <n v="18.792000000000002"/>
    <x v="663"/>
    <x v="8"/>
    <x v="269"/>
    <x v="0"/>
    <n v="375.84"/>
    <n v="4.7619047620000003"/>
    <n v="18.792000000000002"/>
    <n v="9.5"/>
  </r>
  <r>
    <s v="558-49-3716"/>
    <x v="0"/>
    <x v="0"/>
    <x v="0"/>
    <x v="0"/>
    <x v="2"/>
    <n v="94.26"/>
    <n v="4"/>
    <n v="18.852"/>
    <x v="664"/>
    <x v="31"/>
    <x v="266"/>
    <x v="0"/>
    <n v="377.04"/>
    <n v="4.7619047620000003"/>
    <n v="18.852"/>
    <n v="8.6"/>
  </r>
  <r>
    <s v="719-76-3868"/>
    <x v="0"/>
    <x v="1"/>
    <x v="1"/>
    <x v="0"/>
    <x v="2"/>
    <n v="94.26"/>
    <n v="4"/>
    <n v="18.852"/>
    <x v="664"/>
    <x v="31"/>
    <x v="266"/>
    <x v="0"/>
    <n v="377.04"/>
    <n v="4.7619047620000003"/>
    <n v="18.852"/>
    <n v="8.6"/>
  </r>
  <r>
    <s v="115-87-8713"/>
    <x v="2"/>
    <x v="1"/>
    <x v="1"/>
    <x v="0"/>
    <x v="5"/>
    <n v="75.66"/>
    <n v="5"/>
    <n v="18.914999999999999"/>
    <x v="665"/>
    <x v="67"/>
    <x v="407"/>
    <x v="1"/>
    <n v="378.3"/>
    <n v="4.7619047620000003"/>
    <n v="18.914999999999999"/>
    <n v="7.8"/>
  </r>
  <r>
    <s v="369-82-2676"/>
    <x v="0"/>
    <x v="1"/>
    <x v="1"/>
    <x v="0"/>
    <x v="5"/>
    <n v="75.66"/>
    <n v="5"/>
    <n v="18.914999999999999"/>
    <x v="665"/>
    <x v="67"/>
    <x v="407"/>
    <x v="0"/>
    <n v="378.3"/>
    <n v="4.7619047620000003"/>
    <n v="18.914999999999999"/>
    <n v="7.8"/>
  </r>
  <r>
    <s v="550-38-7754"/>
    <x v="0"/>
    <x v="1"/>
    <x v="1"/>
    <x v="0"/>
    <x v="2"/>
    <n v="75.66"/>
    <n v="5"/>
    <n v="18.914999999999999"/>
    <x v="665"/>
    <x v="67"/>
    <x v="407"/>
    <x v="0"/>
    <n v="378.3"/>
    <n v="4.7619047620000003"/>
    <n v="18.914999999999999"/>
    <n v="7.8"/>
  </r>
  <r>
    <s v="749-81-8133"/>
    <x v="1"/>
    <x v="1"/>
    <x v="1"/>
    <x v="1"/>
    <x v="1"/>
    <n v="94.67"/>
    <n v="4"/>
    <n v="18.934000000000001"/>
    <x v="666"/>
    <x v="79"/>
    <x v="264"/>
    <x v="0"/>
    <n v="378.68"/>
    <n v="4.7619047620000003"/>
    <n v="18.934000000000001"/>
    <n v="6.8"/>
  </r>
  <r>
    <s v="501-61-1753"/>
    <x v="2"/>
    <x v="1"/>
    <x v="1"/>
    <x v="1"/>
    <x v="3"/>
    <n v="63.15"/>
    <n v="6"/>
    <n v="18.945"/>
    <x v="667"/>
    <x v="43"/>
    <x v="318"/>
    <x v="0"/>
    <n v="378.9"/>
    <n v="4.7619047620000003"/>
    <n v="18.945"/>
    <n v="9.8000000000000007"/>
  </r>
  <r>
    <s v="534-53-3526"/>
    <x v="1"/>
    <x v="1"/>
    <x v="1"/>
    <x v="1"/>
    <x v="0"/>
    <n v="94.76"/>
    <n v="4"/>
    <n v="18.952000000000002"/>
    <x v="668"/>
    <x v="88"/>
    <x v="411"/>
    <x v="1"/>
    <n v="379.04"/>
    <n v="4.7619047620000003"/>
    <n v="18.952000000000002"/>
    <n v="7.8"/>
  </r>
  <r>
    <s v="889-23-5115"/>
    <x v="1"/>
    <x v="1"/>
    <x v="1"/>
    <x v="0"/>
    <x v="2"/>
    <n v="94.76"/>
    <n v="4"/>
    <n v="18.952000000000002"/>
    <x v="668"/>
    <x v="88"/>
    <x v="411"/>
    <x v="1"/>
    <n v="379.04"/>
    <n v="4.7619047620000003"/>
    <n v="18.952000000000002"/>
    <n v="7.8"/>
  </r>
  <r>
    <s v="173-82-9529"/>
    <x v="0"/>
    <x v="1"/>
    <x v="1"/>
    <x v="1"/>
    <x v="1"/>
    <n v="37.950000000000003"/>
    <n v="10"/>
    <n v="18.975000000000001"/>
    <x v="669"/>
    <x v="1"/>
    <x v="359"/>
    <x v="0"/>
    <n v="379.5"/>
    <n v="4.7619047620000003"/>
    <n v="18.975000000000001"/>
    <n v="9.6999999999999993"/>
  </r>
  <r>
    <s v="719-42-3819"/>
    <x v="2"/>
    <x v="1"/>
    <x v="1"/>
    <x v="0"/>
    <x v="1"/>
    <n v="37.950000000000003"/>
    <n v="10"/>
    <n v="18.975000000000001"/>
    <x v="669"/>
    <x v="1"/>
    <x v="359"/>
    <x v="0"/>
    <n v="379.5"/>
    <n v="4.7619047620000003"/>
    <n v="18.975000000000001"/>
    <n v="9.6999999999999993"/>
  </r>
  <r>
    <s v="595-27-4851"/>
    <x v="0"/>
    <x v="2"/>
    <x v="1"/>
    <x v="1"/>
    <x v="1"/>
    <n v="54.28"/>
    <n v="7"/>
    <n v="18.998000000000001"/>
    <x v="670"/>
    <x v="17"/>
    <x v="412"/>
    <x v="0"/>
    <n v="379.96"/>
    <n v="4.7619047620000003"/>
    <n v="18.998000000000001"/>
    <n v="9.3000000000000007"/>
  </r>
  <r>
    <s v="752-54-8363"/>
    <x v="1"/>
    <x v="2"/>
    <x v="1"/>
    <x v="0"/>
    <x v="1"/>
    <n v="54.28"/>
    <n v="7"/>
    <n v="18.998000000000001"/>
    <x v="670"/>
    <x v="17"/>
    <x v="412"/>
    <x v="0"/>
    <n v="379.96"/>
    <n v="4.7619047620000003"/>
    <n v="18.998000000000001"/>
    <n v="9.3000000000000007"/>
  </r>
  <r>
    <s v="720-37-8352"/>
    <x v="0"/>
    <x v="2"/>
    <x v="1"/>
    <x v="1"/>
    <x v="1"/>
    <n v="54.28"/>
    <n v="7"/>
    <n v="18.998000000000001"/>
    <x v="670"/>
    <x v="17"/>
    <x v="412"/>
    <x v="0"/>
    <n v="379.96"/>
    <n v="4.7619047620000003"/>
    <n v="18.998000000000001"/>
    <n v="12.4"/>
  </r>
  <r>
    <s v="530-90-9855"/>
    <x v="1"/>
    <x v="2"/>
    <x v="0"/>
    <x v="0"/>
    <x v="3"/>
    <n v="47.59"/>
    <n v="8"/>
    <n v="19.036000000000001"/>
    <x v="671"/>
    <x v="85"/>
    <x v="413"/>
    <x v="0"/>
    <n v="380.72"/>
    <n v="4.7619047620000003"/>
    <n v="19.036000000000001"/>
    <n v="5.7"/>
  </r>
  <r>
    <s v="376-56-3573"/>
    <x v="0"/>
    <x v="1"/>
    <x v="1"/>
    <x v="0"/>
    <x v="1"/>
    <n v="95.42"/>
    <n v="4"/>
    <n v="19.084"/>
    <x v="672"/>
    <x v="11"/>
    <x v="395"/>
    <x v="0"/>
    <n v="381.68"/>
    <n v="4.7619047620000003"/>
    <n v="19.084"/>
    <n v="6.4"/>
  </r>
  <r>
    <s v="236-55-9867"/>
    <x v="0"/>
    <x v="1"/>
    <x v="1"/>
    <x v="0"/>
    <x v="2"/>
    <n v="95.42"/>
    <n v="4"/>
    <n v="19.084"/>
    <x v="672"/>
    <x v="11"/>
    <x v="395"/>
    <x v="0"/>
    <n v="381.68"/>
    <n v="4.7619047620000003"/>
    <n v="19.084"/>
    <n v="6.4"/>
  </r>
  <r>
    <s v="311-90-8903"/>
    <x v="2"/>
    <x v="1"/>
    <x v="0"/>
    <x v="0"/>
    <x v="0"/>
    <n v="95.54"/>
    <n v="4"/>
    <n v="19.108000000000001"/>
    <x v="673"/>
    <x v="55"/>
    <x v="414"/>
    <x v="0"/>
    <n v="382.16"/>
    <n v="4.7619047620000003"/>
    <n v="19.108000000000001"/>
    <n v="4.5"/>
  </r>
  <r>
    <s v="707-32-7409"/>
    <x v="2"/>
    <x v="1"/>
    <x v="0"/>
    <x v="1"/>
    <x v="0"/>
    <n v="95.54"/>
    <n v="4"/>
    <n v="19.108000000000001"/>
    <x v="673"/>
    <x v="55"/>
    <x v="414"/>
    <x v="1"/>
    <n v="382.16"/>
    <n v="4.7619047620000003"/>
    <n v="19.108000000000001"/>
    <n v="4.5"/>
  </r>
  <r>
    <s v="349-19-2153"/>
    <x v="2"/>
    <x v="1"/>
    <x v="0"/>
    <x v="0"/>
    <x v="0"/>
    <n v="95.54"/>
    <n v="4"/>
    <n v="19.108000000000001"/>
    <x v="673"/>
    <x v="55"/>
    <x v="414"/>
    <x v="0"/>
    <n v="382.16"/>
    <n v="4.7619047620000003"/>
    <n v="19.108000000000001"/>
    <n v="4.5"/>
  </r>
  <r>
    <s v="394-92-1211"/>
    <x v="2"/>
    <x v="1"/>
    <x v="1"/>
    <x v="0"/>
    <x v="5"/>
    <n v="95.64"/>
    <n v="4"/>
    <n v="19.128"/>
    <x v="674"/>
    <x v="29"/>
    <x v="230"/>
    <x v="0"/>
    <n v="382.56"/>
    <n v="4.7619047620000003"/>
    <n v="19.128"/>
    <n v="7.9"/>
  </r>
  <r>
    <s v="711-31-1234"/>
    <x v="2"/>
    <x v="1"/>
    <x v="1"/>
    <x v="1"/>
    <x v="5"/>
    <n v="95.64"/>
    <n v="4"/>
    <n v="19.128"/>
    <x v="674"/>
    <x v="29"/>
    <x v="230"/>
    <x v="0"/>
    <n v="382.56"/>
    <n v="4.7619047620000003"/>
    <n v="19.128"/>
    <n v="7.9"/>
  </r>
  <r>
    <s v="601-19-8551"/>
    <x v="0"/>
    <x v="1"/>
    <x v="1"/>
    <x v="0"/>
    <x v="5"/>
    <n v="95.64"/>
    <n v="4"/>
    <n v="19.128"/>
    <x v="674"/>
    <x v="29"/>
    <x v="230"/>
    <x v="0"/>
    <n v="382.56"/>
    <n v="4.7619047620000003"/>
    <n v="19.128"/>
    <n v="7.9"/>
  </r>
  <r>
    <s v="362-58-8315"/>
    <x v="0"/>
    <x v="0"/>
    <x v="1"/>
    <x v="0"/>
    <x v="1"/>
    <n v="76.52"/>
    <n v="5"/>
    <n v="19.13"/>
    <x v="675"/>
    <x v="48"/>
    <x v="191"/>
    <x v="0"/>
    <n v="382.6"/>
    <n v="4.7619047620000003"/>
    <n v="19.13"/>
    <n v="9.9"/>
  </r>
  <r>
    <s v="833-97-5377"/>
    <x v="0"/>
    <x v="0"/>
    <x v="1"/>
    <x v="0"/>
    <x v="2"/>
    <n v="76.52"/>
    <n v="5"/>
    <n v="19.13"/>
    <x v="675"/>
    <x v="48"/>
    <x v="191"/>
    <x v="0"/>
    <n v="382.6"/>
    <n v="4.7619047620000003"/>
    <n v="19.13"/>
    <n v="9.9"/>
  </r>
  <r>
    <s v="115-99-4379"/>
    <x v="2"/>
    <x v="1"/>
    <x v="1"/>
    <x v="1"/>
    <x v="1"/>
    <n v="54.73"/>
    <n v="7"/>
    <n v="19.1555"/>
    <x v="676"/>
    <x v="45"/>
    <x v="415"/>
    <x v="2"/>
    <n v="383.11"/>
    <n v="4.7619047620000003"/>
    <n v="19.1555"/>
    <n v="8.5"/>
  </r>
  <r>
    <s v="524-99-5479"/>
    <x v="2"/>
    <x v="1"/>
    <x v="0"/>
    <x v="0"/>
    <x v="1"/>
    <n v="54.73"/>
    <n v="7"/>
    <n v="19.1555"/>
    <x v="676"/>
    <x v="45"/>
    <x v="415"/>
    <x v="2"/>
    <n v="383.11"/>
    <n v="4.7619047620000003"/>
    <n v="19.1555"/>
    <n v="8.5"/>
  </r>
  <r>
    <s v="869-11-3082"/>
    <x v="2"/>
    <x v="1"/>
    <x v="0"/>
    <x v="0"/>
    <x v="2"/>
    <n v="96.16"/>
    <n v="4"/>
    <n v="19.231999999999999"/>
    <x v="677"/>
    <x v="17"/>
    <x v="76"/>
    <x v="0"/>
    <n v="384.64"/>
    <n v="4.7619047620000003"/>
    <n v="19.231999999999999"/>
    <n v="8.4"/>
  </r>
  <r>
    <s v="566-71-1091"/>
    <x v="1"/>
    <x v="1"/>
    <x v="1"/>
    <x v="0"/>
    <x v="1"/>
    <n v="77.02"/>
    <n v="5"/>
    <n v="19.254999999999999"/>
    <x v="678"/>
    <x v="52"/>
    <x v="416"/>
    <x v="0"/>
    <n v="385.1"/>
    <n v="4.7619047620000003"/>
    <n v="19.254999999999999"/>
    <n v="5.5"/>
  </r>
  <r>
    <s v="266-20-6657"/>
    <x v="0"/>
    <x v="0"/>
    <x v="0"/>
    <x v="0"/>
    <x v="2"/>
    <n v="55.04"/>
    <n v="7"/>
    <n v="19.263999999999999"/>
    <x v="679"/>
    <x v="31"/>
    <x v="217"/>
    <x v="1"/>
    <n v="385.28"/>
    <n v="4.7619047620000003"/>
    <n v="19.263999999999999"/>
    <n v="5.2"/>
  </r>
  <r>
    <s v="925-74-5437"/>
    <x v="0"/>
    <x v="1"/>
    <x v="0"/>
    <x v="0"/>
    <x v="2"/>
    <n v="55.04"/>
    <n v="7"/>
    <n v="19.263999999999999"/>
    <x v="679"/>
    <x v="31"/>
    <x v="217"/>
    <x v="1"/>
    <n v="385.28"/>
    <n v="4.7619047620000003"/>
    <n v="19.263999999999999"/>
    <n v="5.2"/>
  </r>
  <r>
    <s v="374-17-3652"/>
    <x v="2"/>
    <x v="1"/>
    <x v="1"/>
    <x v="1"/>
    <x v="2"/>
    <n v="42.82"/>
    <n v="9"/>
    <n v="19.268999999999998"/>
    <x v="680"/>
    <x v="28"/>
    <x v="69"/>
    <x v="0"/>
    <n v="385.38"/>
    <n v="4.7619047620000003"/>
    <n v="19.268999999999998"/>
    <n v="8.9"/>
  </r>
  <r>
    <s v="426-80-5869"/>
    <x v="2"/>
    <x v="1"/>
    <x v="0"/>
    <x v="1"/>
    <x v="2"/>
    <n v="42.82"/>
    <n v="9"/>
    <n v="19.268999999999998"/>
    <x v="680"/>
    <x v="28"/>
    <x v="69"/>
    <x v="0"/>
    <n v="385.38"/>
    <n v="4.7619047620000003"/>
    <n v="19.268999999999998"/>
    <n v="8.9"/>
  </r>
  <r>
    <s v="709-85-6268"/>
    <x v="0"/>
    <x v="1"/>
    <x v="1"/>
    <x v="1"/>
    <x v="2"/>
    <n v="42.82"/>
    <n v="9"/>
    <n v="19.268999999999998"/>
    <x v="680"/>
    <x v="28"/>
    <x v="69"/>
    <x v="0"/>
    <n v="385.38"/>
    <n v="4.7619047620000003"/>
    <n v="19.268999999999998"/>
    <n v="8.9"/>
  </r>
  <r>
    <s v="446-23-4398"/>
    <x v="0"/>
    <x v="1"/>
    <x v="0"/>
    <x v="0"/>
    <x v="2"/>
    <n v="42.82"/>
    <n v="9"/>
    <n v="19.268999999999998"/>
    <x v="680"/>
    <x v="28"/>
    <x v="69"/>
    <x v="0"/>
    <n v="385.38"/>
    <n v="4.7619047620000003"/>
    <n v="19.268999999999998"/>
    <n v="8.9"/>
  </r>
  <r>
    <s v="726-27-2396"/>
    <x v="0"/>
    <x v="2"/>
    <x v="1"/>
    <x v="1"/>
    <x v="4"/>
    <n v="77.5"/>
    <n v="5"/>
    <n v="19.375"/>
    <x v="681"/>
    <x v="61"/>
    <x v="292"/>
    <x v="1"/>
    <n v="387.5"/>
    <n v="4.7619047620000003"/>
    <n v="19.375"/>
    <n v="4.3"/>
  </r>
  <r>
    <s v="595-86-2894"/>
    <x v="0"/>
    <x v="1"/>
    <x v="0"/>
    <x v="0"/>
    <x v="1"/>
    <n v="96.98"/>
    <n v="4"/>
    <n v="19.396000000000001"/>
    <x v="682"/>
    <x v="51"/>
    <x v="307"/>
    <x v="1"/>
    <n v="387.92"/>
    <n v="4.7619047620000003"/>
    <n v="19.396000000000001"/>
    <n v="9.4"/>
  </r>
  <r>
    <s v="630-80-9474"/>
    <x v="0"/>
    <x v="0"/>
    <x v="0"/>
    <x v="0"/>
    <x v="1"/>
    <n v="96.98"/>
    <n v="4"/>
    <n v="19.396000000000001"/>
    <x v="682"/>
    <x v="51"/>
    <x v="307"/>
    <x v="1"/>
    <n v="387.92"/>
    <n v="4.7619047620000003"/>
    <n v="19.396000000000001"/>
    <n v="9.4"/>
  </r>
  <r>
    <s v="142-19-6826"/>
    <x v="0"/>
    <x v="1"/>
    <x v="0"/>
    <x v="0"/>
    <x v="1"/>
    <n v="96.98"/>
    <n v="4"/>
    <n v="19.396000000000001"/>
    <x v="682"/>
    <x v="51"/>
    <x v="307"/>
    <x v="1"/>
    <n v="387.92"/>
    <n v="4.7619047620000003"/>
    <n v="19.396000000000001"/>
    <n v="12.5"/>
  </r>
  <r>
    <s v="655-73-2921"/>
    <x v="0"/>
    <x v="0"/>
    <x v="0"/>
    <x v="0"/>
    <x v="1"/>
    <n v="96.98"/>
    <n v="4"/>
    <n v="19.396000000000001"/>
    <x v="682"/>
    <x v="51"/>
    <x v="307"/>
    <x v="1"/>
    <n v="387.92"/>
    <n v="4.7619047620000003"/>
    <n v="19.396000000000001"/>
    <n v="12.6"/>
  </r>
  <r>
    <s v="560-20-2696"/>
    <x v="1"/>
    <x v="2"/>
    <x v="0"/>
    <x v="0"/>
    <x v="5"/>
    <n v="48.62"/>
    <n v="8"/>
    <n v="19.448"/>
    <x v="683"/>
    <x v="61"/>
    <x v="144"/>
    <x v="0"/>
    <n v="388.96"/>
    <n v="4.7619047620000003"/>
    <n v="19.448"/>
    <n v="5"/>
  </r>
  <r>
    <s v="778-34-2523"/>
    <x v="1"/>
    <x v="1"/>
    <x v="0"/>
    <x v="1"/>
    <x v="5"/>
    <n v="48.62"/>
    <n v="8"/>
    <n v="19.448"/>
    <x v="683"/>
    <x v="61"/>
    <x v="144"/>
    <x v="0"/>
    <n v="388.96"/>
    <n v="4.7619047620000003"/>
    <n v="19.448"/>
    <n v="5"/>
  </r>
  <r>
    <s v="210-74-9613"/>
    <x v="0"/>
    <x v="1"/>
    <x v="1"/>
    <x v="0"/>
    <x v="1"/>
    <n v="97.26"/>
    <n v="4"/>
    <n v="19.452000000000002"/>
    <x v="684"/>
    <x v="29"/>
    <x v="96"/>
    <x v="1"/>
    <n v="389.04"/>
    <n v="4.7619047620000003"/>
    <n v="19.452000000000002"/>
    <n v="6.8"/>
  </r>
  <r>
    <s v="770-92-6658"/>
    <x v="0"/>
    <x v="0"/>
    <x v="1"/>
    <x v="0"/>
    <x v="1"/>
    <n v="97.26"/>
    <n v="4"/>
    <n v="19.452000000000002"/>
    <x v="684"/>
    <x v="29"/>
    <x v="96"/>
    <x v="1"/>
    <n v="389.04"/>
    <n v="4.7619047620000003"/>
    <n v="19.452000000000002"/>
    <n v="6.8"/>
  </r>
  <r>
    <s v="733-29-1227"/>
    <x v="0"/>
    <x v="1"/>
    <x v="1"/>
    <x v="0"/>
    <x v="3"/>
    <n v="55.61"/>
    <n v="7"/>
    <n v="19.4635"/>
    <x v="685"/>
    <x v="19"/>
    <x v="417"/>
    <x v="0"/>
    <n v="389.27"/>
    <n v="4.7619047620000003"/>
    <n v="19.4635"/>
    <n v="8.5"/>
  </r>
  <r>
    <s v="276-54-0879"/>
    <x v="2"/>
    <x v="1"/>
    <x v="1"/>
    <x v="0"/>
    <x v="0"/>
    <n v="97.74"/>
    <n v="4"/>
    <n v="19.547999999999998"/>
    <x v="686"/>
    <x v="31"/>
    <x v="418"/>
    <x v="0"/>
    <n v="390.96"/>
    <n v="4.7619047620000003"/>
    <n v="19.547999999999998"/>
    <n v="6.4"/>
  </r>
  <r>
    <s v="228-15-4452"/>
    <x v="1"/>
    <x v="1"/>
    <x v="1"/>
    <x v="0"/>
    <x v="2"/>
    <n v="97.74"/>
    <n v="4"/>
    <n v="19.547999999999998"/>
    <x v="686"/>
    <x v="31"/>
    <x v="418"/>
    <x v="1"/>
    <n v="390.96"/>
    <n v="4.7619047620000003"/>
    <n v="19.547999999999998"/>
    <n v="6.4"/>
  </r>
  <r>
    <s v="433-75-6987"/>
    <x v="2"/>
    <x v="1"/>
    <x v="1"/>
    <x v="1"/>
    <x v="4"/>
    <n v="55.97"/>
    <n v="7"/>
    <n v="19.589500000000001"/>
    <x v="687"/>
    <x v="53"/>
    <x v="374"/>
    <x v="0"/>
    <n v="391.79"/>
    <n v="4.7619047620000003"/>
    <n v="19.589500000000001"/>
    <n v="8.9"/>
  </r>
  <r>
    <s v="496-61-9305"/>
    <x v="0"/>
    <x v="1"/>
    <x v="1"/>
    <x v="0"/>
    <x v="4"/>
    <n v="55.97"/>
    <n v="7"/>
    <n v="19.589500000000001"/>
    <x v="687"/>
    <x v="53"/>
    <x v="374"/>
    <x v="0"/>
    <n v="391.79"/>
    <n v="4.7619047620000003"/>
    <n v="19.589500000000001"/>
    <n v="8.9"/>
  </r>
  <r>
    <s v="200-40-6154"/>
    <x v="2"/>
    <x v="1"/>
    <x v="0"/>
    <x v="0"/>
    <x v="3"/>
    <n v="65.91"/>
    <n v="6"/>
    <n v="19.773"/>
    <x v="688"/>
    <x v="14"/>
    <x v="373"/>
    <x v="0"/>
    <n v="395.46"/>
    <n v="4.7619047620000003"/>
    <n v="19.773"/>
    <n v="5.7"/>
  </r>
  <r>
    <s v="213-32-1216"/>
    <x v="0"/>
    <x v="2"/>
    <x v="1"/>
    <x v="1"/>
    <x v="5"/>
    <n v="66.06"/>
    <n v="6"/>
    <n v="19.818000000000001"/>
    <x v="689"/>
    <x v="27"/>
    <x v="419"/>
    <x v="0"/>
    <n v="396.36"/>
    <n v="4.7619047620000003"/>
    <n v="19.818000000000001"/>
    <n v="7.3"/>
  </r>
  <r>
    <s v="701-26-7409"/>
    <x v="1"/>
    <x v="2"/>
    <x v="1"/>
    <x v="0"/>
    <x v="5"/>
    <n v="66.06"/>
    <n v="6"/>
    <n v="19.818000000000001"/>
    <x v="689"/>
    <x v="27"/>
    <x v="419"/>
    <x v="0"/>
    <n v="396.36"/>
    <n v="4.7619047620000003"/>
    <n v="19.818000000000001"/>
    <n v="7.3"/>
  </r>
  <r>
    <s v="183-56-6882"/>
    <x v="0"/>
    <x v="0"/>
    <x v="0"/>
    <x v="0"/>
    <x v="2"/>
    <n v="99.42"/>
    <n v="4"/>
    <n v="19.884"/>
    <x v="690"/>
    <x v="51"/>
    <x v="420"/>
    <x v="1"/>
    <n v="397.68"/>
    <n v="4.7619047620000003"/>
    <n v="19.884"/>
    <n v="7.5"/>
  </r>
  <r>
    <s v="982-55-2341"/>
    <x v="1"/>
    <x v="1"/>
    <x v="0"/>
    <x v="1"/>
    <x v="2"/>
    <n v="99.42"/>
    <n v="4"/>
    <n v="19.884"/>
    <x v="690"/>
    <x v="51"/>
    <x v="420"/>
    <x v="1"/>
    <n v="397.68"/>
    <n v="4.7619047620000003"/>
    <n v="19.884"/>
    <n v="7.5"/>
  </r>
  <r>
    <s v="548-46-9322"/>
    <x v="2"/>
    <x v="1"/>
    <x v="1"/>
    <x v="0"/>
    <x v="2"/>
    <n v="39.9"/>
    <n v="10"/>
    <n v="19.95"/>
    <x v="691"/>
    <x v="76"/>
    <x v="349"/>
    <x v="2"/>
    <n v="399"/>
    <n v="4.7619047620000003"/>
    <n v="19.95"/>
    <n v="5.9"/>
  </r>
  <r>
    <s v="651-46-4431"/>
    <x v="2"/>
    <x v="1"/>
    <x v="1"/>
    <x v="0"/>
    <x v="2"/>
    <n v="39.9"/>
    <n v="10"/>
    <n v="19.95"/>
    <x v="691"/>
    <x v="76"/>
    <x v="349"/>
    <x v="2"/>
    <n v="399"/>
    <n v="4.7619047620000003"/>
    <n v="19.95"/>
    <n v="5.9"/>
  </r>
  <r>
    <s v="914-59-4025"/>
    <x v="2"/>
    <x v="0"/>
    <x v="1"/>
    <x v="0"/>
    <x v="2"/>
    <n v="39.9"/>
    <n v="10"/>
    <n v="19.95"/>
    <x v="691"/>
    <x v="76"/>
    <x v="349"/>
    <x v="2"/>
    <n v="399"/>
    <n v="4.7619047620000003"/>
    <n v="19.95"/>
    <n v="12.7"/>
  </r>
  <r>
    <s v="659-36-1684"/>
    <x v="0"/>
    <x v="0"/>
    <x v="0"/>
    <x v="0"/>
    <x v="0"/>
    <n v="57.12"/>
    <n v="7"/>
    <n v="19.992000000000001"/>
    <x v="692"/>
    <x v="22"/>
    <x v="293"/>
    <x v="2"/>
    <n v="399.84"/>
    <n v="4.7619047620000003"/>
    <n v="19.992000000000001"/>
    <n v="6.5"/>
  </r>
  <r>
    <s v="591-22-9359"/>
    <x v="0"/>
    <x v="0"/>
    <x v="0"/>
    <x v="0"/>
    <x v="0"/>
    <n v="57.12"/>
    <n v="7"/>
    <n v="19.992000000000001"/>
    <x v="692"/>
    <x v="22"/>
    <x v="293"/>
    <x v="2"/>
    <n v="399.84"/>
    <n v="4.7619047620000003"/>
    <n v="19.992000000000001"/>
    <n v="12.8"/>
  </r>
  <r>
    <s v="316-55-4634"/>
    <x v="2"/>
    <x v="1"/>
    <x v="0"/>
    <x v="0"/>
    <x v="2"/>
    <n v="80.05"/>
    <n v="5"/>
    <n v="20.012499999999999"/>
    <x v="693"/>
    <x v="1"/>
    <x v="206"/>
    <x v="0"/>
    <n v="400.25"/>
    <n v="4.7619047620000003"/>
    <n v="20.012499999999999"/>
    <n v="9.4"/>
  </r>
  <r>
    <s v="603-43-9576"/>
    <x v="2"/>
    <x v="1"/>
    <x v="0"/>
    <x v="0"/>
    <x v="2"/>
    <n v="80.05"/>
    <n v="5"/>
    <n v="20.012499999999999"/>
    <x v="693"/>
    <x v="1"/>
    <x v="206"/>
    <x v="2"/>
    <n v="400.25"/>
    <n v="4.7619047620000003"/>
    <n v="20.012499999999999"/>
    <n v="9.4"/>
  </r>
  <r>
    <s v="773-34-3059"/>
    <x v="2"/>
    <x v="1"/>
    <x v="0"/>
    <x v="0"/>
    <x v="2"/>
    <n v="80.05"/>
    <n v="5"/>
    <n v="20.012499999999999"/>
    <x v="693"/>
    <x v="1"/>
    <x v="206"/>
    <x v="0"/>
    <n v="400.25"/>
    <n v="4.7619047620000003"/>
    <n v="20.012499999999999"/>
    <n v="9.4"/>
  </r>
  <r>
    <s v="247-15-9316"/>
    <x v="2"/>
    <x v="1"/>
    <x v="0"/>
    <x v="0"/>
    <x v="2"/>
    <n v="80.05"/>
    <n v="5"/>
    <n v="20.012499999999999"/>
    <x v="693"/>
    <x v="1"/>
    <x v="206"/>
    <x v="2"/>
    <n v="400.25"/>
    <n v="4.7619047620000003"/>
    <n v="20.012499999999999"/>
    <n v="12.9"/>
  </r>
  <r>
    <s v="380-60-5336"/>
    <x v="1"/>
    <x v="1"/>
    <x v="1"/>
    <x v="1"/>
    <x v="5"/>
    <n v="40.26"/>
    <n v="10"/>
    <n v="20.13"/>
    <x v="694"/>
    <x v="49"/>
    <x v="24"/>
    <x v="0"/>
    <n v="402.6"/>
    <n v="4.7619047620000003"/>
    <n v="20.13"/>
    <n v="5"/>
  </r>
  <r>
    <s v="921-39-2085"/>
    <x v="1"/>
    <x v="1"/>
    <x v="1"/>
    <x v="0"/>
    <x v="2"/>
    <n v="40.26"/>
    <n v="10"/>
    <n v="20.13"/>
    <x v="694"/>
    <x v="49"/>
    <x v="24"/>
    <x v="2"/>
    <n v="402.6"/>
    <n v="4.7619047620000003"/>
    <n v="20.13"/>
    <n v="5"/>
  </r>
  <r>
    <s v="891-62-9685"/>
    <x v="0"/>
    <x v="1"/>
    <x v="1"/>
    <x v="1"/>
    <x v="5"/>
    <n v="40.26"/>
    <n v="10"/>
    <n v="20.13"/>
    <x v="694"/>
    <x v="49"/>
    <x v="24"/>
    <x v="0"/>
    <n v="402.6"/>
    <n v="4.7619047620000003"/>
    <n v="20.13"/>
    <n v="5"/>
  </r>
  <r>
    <s v="139-20-0155"/>
    <x v="2"/>
    <x v="1"/>
    <x v="1"/>
    <x v="0"/>
    <x v="5"/>
    <n v="40.299999999999997"/>
    <n v="10"/>
    <n v="20.149999999999999"/>
    <x v="695"/>
    <x v="61"/>
    <x v="421"/>
    <x v="2"/>
    <n v="403"/>
    <n v="4.7619047620000003"/>
    <n v="20.149999999999999"/>
    <n v="7"/>
  </r>
  <r>
    <s v="139-56-8317"/>
    <x v="2"/>
    <x v="1"/>
    <x v="0"/>
    <x v="0"/>
    <x v="5"/>
    <n v="40.299999999999997"/>
    <n v="10"/>
    <n v="20.149999999999999"/>
    <x v="695"/>
    <x v="61"/>
    <x v="421"/>
    <x v="2"/>
    <n v="403"/>
    <n v="4.7619047620000003"/>
    <n v="20.149999999999999"/>
    <n v="7"/>
  </r>
  <r>
    <s v="377-79-7592"/>
    <x v="0"/>
    <x v="1"/>
    <x v="0"/>
    <x v="1"/>
    <x v="5"/>
    <n v="44.84"/>
    <n v="9"/>
    <n v="20.178000000000001"/>
    <x v="696"/>
    <x v="9"/>
    <x v="179"/>
    <x v="0"/>
    <n v="403.56"/>
    <n v="4.7619047620000003"/>
    <n v="20.178000000000001"/>
    <n v="7.5"/>
  </r>
  <r>
    <s v="688-12-8347"/>
    <x v="0"/>
    <x v="0"/>
    <x v="0"/>
    <x v="0"/>
    <x v="5"/>
    <n v="44.84"/>
    <n v="9"/>
    <n v="20.178000000000001"/>
    <x v="696"/>
    <x v="9"/>
    <x v="179"/>
    <x v="2"/>
    <n v="403.56"/>
    <n v="4.7619047620000003"/>
    <n v="20.178000000000001"/>
    <n v="7.5"/>
  </r>
  <r>
    <s v="684-38-2095"/>
    <x v="0"/>
    <x v="1"/>
    <x v="0"/>
    <x v="1"/>
    <x v="2"/>
    <n v="44.84"/>
    <n v="9"/>
    <n v="20.178000000000001"/>
    <x v="696"/>
    <x v="9"/>
    <x v="179"/>
    <x v="0"/>
    <n v="403.56"/>
    <n v="4.7619047620000003"/>
    <n v="20.178000000000001"/>
    <n v="7.5"/>
  </r>
  <r>
    <s v="472-15-9636"/>
    <x v="0"/>
    <x v="2"/>
    <x v="1"/>
    <x v="0"/>
    <x v="3"/>
    <n v="50.93"/>
    <n v="8"/>
    <n v="20.372"/>
    <x v="697"/>
    <x v="10"/>
    <x v="422"/>
    <x v="1"/>
    <n v="407.44"/>
    <n v="4.7619047620000003"/>
    <n v="20.372"/>
    <n v="9.1999999999999993"/>
  </r>
  <r>
    <s v="503-07-0930"/>
    <x v="0"/>
    <x v="0"/>
    <x v="0"/>
    <x v="0"/>
    <x v="0"/>
    <n v="58.39"/>
    <n v="7"/>
    <n v="20.436499999999999"/>
    <x v="698"/>
    <x v="36"/>
    <x v="423"/>
    <x v="0"/>
    <n v="408.73"/>
    <n v="4.7619047620000003"/>
    <n v="20.436499999999999"/>
    <n v="8.1999999999999993"/>
  </r>
  <r>
    <s v="903-13-9866"/>
    <x v="0"/>
    <x v="1"/>
    <x v="0"/>
    <x v="0"/>
    <x v="2"/>
    <n v="58.39"/>
    <n v="7"/>
    <n v="20.436499999999999"/>
    <x v="698"/>
    <x v="36"/>
    <x v="423"/>
    <x v="2"/>
    <n v="408.73"/>
    <n v="4.7619047620000003"/>
    <n v="20.436499999999999"/>
    <n v="8.1999999999999993"/>
  </r>
  <r>
    <s v="834-83-1826"/>
    <x v="0"/>
    <x v="1"/>
    <x v="0"/>
    <x v="1"/>
    <x v="3"/>
    <n v="82.04"/>
    <n v="5"/>
    <n v="20.51"/>
    <x v="699"/>
    <x v="42"/>
    <x v="149"/>
    <x v="2"/>
    <n v="410.2"/>
    <n v="4.7619047620000003"/>
    <n v="20.51"/>
    <n v="7.6"/>
  </r>
  <r>
    <s v="522-57-8364"/>
    <x v="1"/>
    <x v="1"/>
    <x v="0"/>
    <x v="0"/>
    <x v="1"/>
    <n v="51.34"/>
    <n v="8"/>
    <n v="20.536000000000001"/>
    <x v="700"/>
    <x v="63"/>
    <x v="115"/>
    <x v="0"/>
    <n v="410.72"/>
    <n v="4.7619047620000003"/>
    <n v="20.536000000000001"/>
    <n v="7.6"/>
  </r>
  <r>
    <s v="534-75-4911"/>
    <x v="2"/>
    <x v="1"/>
    <x v="1"/>
    <x v="0"/>
    <x v="1"/>
    <n v="41.09"/>
    <n v="10"/>
    <n v="20.545000000000002"/>
    <x v="701"/>
    <x v="60"/>
    <x v="28"/>
    <x v="0"/>
    <n v="410.9"/>
    <n v="4.7619047620000003"/>
    <n v="20.545000000000002"/>
    <n v="7.3"/>
  </r>
  <r>
    <s v="709-58-4068"/>
    <x v="0"/>
    <x v="1"/>
    <x v="1"/>
    <x v="1"/>
    <x v="1"/>
    <n v="41.09"/>
    <n v="10"/>
    <n v="20.545000000000002"/>
    <x v="701"/>
    <x v="60"/>
    <x v="28"/>
    <x v="0"/>
    <n v="410.9"/>
    <n v="4.7619047620000003"/>
    <n v="20.545000000000002"/>
    <n v="7.3"/>
  </r>
  <r>
    <s v="420-18-8989"/>
    <x v="0"/>
    <x v="2"/>
    <x v="0"/>
    <x v="1"/>
    <x v="0"/>
    <n v="51.52"/>
    <n v="8"/>
    <n v="20.608000000000001"/>
    <x v="702"/>
    <x v="11"/>
    <x v="291"/>
    <x v="0"/>
    <n v="412.16"/>
    <n v="4.7619047620000003"/>
    <n v="20.608000000000001"/>
    <n v="9.6"/>
  </r>
  <r>
    <s v="639-42-5912"/>
    <x v="1"/>
    <x v="2"/>
    <x v="0"/>
    <x v="0"/>
    <x v="0"/>
    <n v="51.52"/>
    <n v="8"/>
    <n v="20.608000000000001"/>
    <x v="702"/>
    <x v="11"/>
    <x v="291"/>
    <x v="0"/>
    <n v="412.16"/>
    <n v="4.7619047620000003"/>
    <n v="20.608000000000001"/>
    <n v="9.6"/>
  </r>
  <r>
    <s v="711-60-3357"/>
    <x v="0"/>
    <x v="2"/>
    <x v="0"/>
    <x v="0"/>
    <x v="0"/>
    <n v="51.52"/>
    <n v="8"/>
    <n v="20.608000000000001"/>
    <x v="702"/>
    <x v="11"/>
    <x v="291"/>
    <x v="0"/>
    <n v="412.16"/>
    <n v="4.7619047620000003"/>
    <n v="20.608000000000001"/>
    <n v="9.6"/>
  </r>
  <r>
    <s v="469-96-4871"/>
    <x v="1"/>
    <x v="0"/>
    <x v="0"/>
    <x v="0"/>
    <x v="0"/>
    <n v="51.52"/>
    <n v="8"/>
    <n v="20.608000000000001"/>
    <x v="702"/>
    <x v="11"/>
    <x v="291"/>
    <x v="0"/>
    <n v="412.16"/>
    <n v="4.7619047620000003"/>
    <n v="20.608000000000001"/>
    <n v="13"/>
  </r>
  <r>
    <s v="152-47-5857"/>
    <x v="1"/>
    <x v="2"/>
    <x v="1"/>
    <x v="0"/>
    <x v="0"/>
    <n v="58.91"/>
    <n v="7"/>
    <n v="20.618500000000001"/>
    <x v="703"/>
    <x v="77"/>
    <x v="347"/>
    <x v="1"/>
    <n v="412.37"/>
    <n v="4.7619047620000003"/>
    <n v="20.618500000000001"/>
    <n v="9.6999999999999993"/>
  </r>
  <r>
    <s v="497-37-6538"/>
    <x v="1"/>
    <x v="1"/>
    <x v="1"/>
    <x v="0"/>
    <x v="0"/>
    <n v="58.91"/>
    <n v="7"/>
    <n v="20.618500000000001"/>
    <x v="703"/>
    <x v="77"/>
    <x v="347"/>
    <x v="1"/>
    <n v="412.37"/>
    <n v="4.7619047620000003"/>
    <n v="20.618500000000001"/>
    <n v="9.6999999999999993"/>
  </r>
  <r>
    <s v="276-79-4400"/>
    <x v="1"/>
    <x v="2"/>
    <x v="0"/>
    <x v="0"/>
    <x v="5"/>
    <n v="68.84"/>
    <n v="6"/>
    <n v="20.652000000000001"/>
    <x v="704"/>
    <x v="42"/>
    <x v="424"/>
    <x v="0"/>
    <n v="413.04"/>
    <n v="4.7619047620000003"/>
    <n v="20.652000000000001"/>
    <n v="5.8"/>
  </r>
  <r>
    <s v="355-53-5943"/>
    <x v="1"/>
    <x v="2"/>
    <x v="1"/>
    <x v="0"/>
    <x v="5"/>
    <n v="68.84"/>
    <n v="6"/>
    <n v="20.652000000000001"/>
    <x v="704"/>
    <x v="42"/>
    <x v="424"/>
    <x v="0"/>
    <n v="413.04"/>
    <n v="4.7619047620000003"/>
    <n v="20.652000000000001"/>
    <n v="5.8"/>
  </r>
  <r>
    <s v="920-46-1548"/>
    <x v="1"/>
    <x v="2"/>
    <x v="0"/>
    <x v="0"/>
    <x v="2"/>
    <n v="68.84"/>
    <n v="6"/>
    <n v="20.652000000000001"/>
    <x v="704"/>
    <x v="42"/>
    <x v="424"/>
    <x v="1"/>
    <n v="413.04"/>
    <n v="4.7619047620000003"/>
    <n v="20.652000000000001"/>
    <n v="5.8"/>
  </r>
  <r>
    <s v="992-75-9246"/>
    <x v="1"/>
    <x v="2"/>
    <x v="1"/>
    <x v="0"/>
    <x v="2"/>
    <n v="68.84"/>
    <n v="6"/>
    <n v="20.652000000000001"/>
    <x v="704"/>
    <x v="42"/>
    <x v="424"/>
    <x v="0"/>
    <n v="413.04"/>
    <n v="4.7619047620000003"/>
    <n v="20.652000000000001"/>
    <n v="5.8"/>
  </r>
  <r>
    <s v="851-98-3555"/>
    <x v="2"/>
    <x v="1"/>
    <x v="1"/>
    <x v="1"/>
    <x v="2"/>
    <n v="82.88"/>
    <n v="5"/>
    <n v="20.72"/>
    <x v="705"/>
    <x v="73"/>
    <x v="425"/>
    <x v="0"/>
    <n v="414.4"/>
    <n v="4.7619047620000003"/>
    <n v="20.72"/>
    <n v="6.6"/>
  </r>
  <r>
    <s v="354-25-5821"/>
    <x v="2"/>
    <x v="1"/>
    <x v="0"/>
    <x v="0"/>
    <x v="0"/>
    <n v="69.12"/>
    <n v="6"/>
    <n v="20.736000000000001"/>
    <x v="706"/>
    <x v="13"/>
    <x v="426"/>
    <x v="0"/>
    <n v="414.72"/>
    <n v="4.7619047620000003"/>
    <n v="20.736000000000001"/>
    <n v="5.6"/>
  </r>
  <r>
    <s v="219-72-4421"/>
    <x v="2"/>
    <x v="1"/>
    <x v="0"/>
    <x v="0"/>
    <x v="2"/>
    <n v="69.12"/>
    <n v="6"/>
    <n v="20.736000000000001"/>
    <x v="706"/>
    <x v="13"/>
    <x v="426"/>
    <x v="0"/>
    <n v="414.72"/>
    <n v="4.7619047620000003"/>
    <n v="20.736000000000001"/>
    <n v="5.6"/>
  </r>
  <r>
    <s v="463-55-5119"/>
    <x v="0"/>
    <x v="0"/>
    <x v="1"/>
    <x v="0"/>
    <x v="5"/>
    <n v="41.65"/>
    <n v="10"/>
    <n v="20.824999999999999"/>
    <x v="707"/>
    <x v="75"/>
    <x v="394"/>
    <x v="2"/>
    <n v="416.5"/>
    <n v="4.7619047620000003"/>
    <n v="20.824999999999999"/>
    <n v="5.4"/>
  </r>
  <r>
    <s v="732-94-0499"/>
    <x v="0"/>
    <x v="0"/>
    <x v="1"/>
    <x v="0"/>
    <x v="5"/>
    <n v="41.65"/>
    <n v="10"/>
    <n v="20.824999999999999"/>
    <x v="707"/>
    <x v="75"/>
    <x v="394"/>
    <x v="2"/>
    <n v="416.5"/>
    <n v="4.7619047620000003"/>
    <n v="20.824999999999999"/>
    <n v="5.4"/>
  </r>
  <r>
    <s v="389-70-2397"/>
    <x v="0"/>
    <x v="1"/>
    <x v="1"/>
    <x v="1"/>
    <x v="4"/>
    <n v="83.66"/>
    <n v="5"/>
    <n v="20.914999999999999"/>
    <x v="708"/>
    <x v="2"/>
    <x v="218"/>
    <x v="0"/>
    <n v="418.3"/>
    <n v="4.7619047620000003"/>
    <n v="20.914999999999999"/>
    <n v="7.2"/>
  </r>
  <r>
    <s v="229-57-2022"/>
    <x v="0"/>
    <x v="1"/>
    <x v="1"/>
    <x v="0"/>
    <x v="4"/>
    <n v="83.66"/>
    <n v="5"/>
    <n v="20.914999999999999"/>
    <x v="708"/>
    <x v="2"/>
    <x v="218"/>
    <x v="0"/>
    <n v="418.3"/>
    <n v="4.7619047620000003"/>
    <n v="20.914999999999999"/>
    <n v="7.2"/>
  </r>
  <r>
    <s v="845-51-0542"/>
    <x v="2"/>
    <x v="1"/>
    <x v="0"/>
    <x v="0"/>
    <x v="2"/>
    <n v="46.55"/>
    <n v="9"/>
    <n v="20.947500000000002"/>
    <x v="709"/>
    <x v="11"/>
    <x v="427"/>
    <x v="1"/>
    <n v="418.95"/>
    <n v="4.7619047620000003"/>
    <n v="20.947500000000002"/>
    <n v="6.4"/>
  </r>
  <r>
    <s v="940-42-1315"/>
    <x v="2"/>
    <x v="1"/>
    <x v="0"/>
    <x v="0"/>
    <x v="2"/>
    <n v="46.55"/>
    <n v="9"/>
    <n v="20.947500000000002"/>
    <x v="709"/>
    <x v="11"/>
    <x v="427"/>
    <x v="1"/>
    <n v="418.95"/>
    <n v="4.7619047620000003"/>
    <n v="20.947500000000002"/>
    <n v="6.4"/>
  </r>
  <r>
    <s v="123-35-4896"/>
    <x v="0"/>
    <x v="0"/>
    <x v="1"/>
    <x v="1"/>
    <x v="0"/>
    <n v="46.66"/>
    <n v="9"/>
    <n v="20.997"/>
    <x v="710"/>
    <x v="58"/>
    <x v="183"/>
    <x v="0"/>
    <n v="419.94"/>
    <n v="4.7619047620000003"/>
    <n v="20.997"/>
    <n v="5.3"/>
  </r>
  <r>
    <s v="542-39-6883"/>
    <x v="0"/>
    <x v="0"/>
    <x v="1"/>
    <x v="0"/>
    <x v="0"/>
    <n v="46.66"/>
    <n v="9"/>
    <n v="20.997"/>
    <x v="710"/>
    <x v="58"/>
    <x v="183"/>
    <x v="1"/>
    <n v="419.94"/>
    <n v="4.7619047620000003"/>
    <n v="20.997"/>
    <n v="5.3"/>
  </r>
  <r>
    <s v="109-86-4363"/>
    <x v="2"/>
    <x v="1"/>
    <x v="0"/>
    <x v="1"/>
    <x v="0"/>
    <n v="60.08"/>
    <n v="7"/>
    <n v="21.027999999999999"/>
    <x v="711"/>
    <x v="83"/>
    <x v="212"/>
    <x v="0"/>
    <n v="420.56"/>
    <n v="4.7619047620000003"/>
    <n v="21.027999999999999"/>
    <n v="4.5"/>
  </r>
  <r>
    <s v="321-84-1971"/>
    <x v="2"/>
    <x v="1"/>
    <x v="0"/>
    <x v="0"/>
    <x v="0"/>
    <n v="60.08"/>
    <n v="7"/>
    <n v="21.027999999999999"/>
    <x v="711"/>
    <x v="83"/>
    <x v="212"/>
    <x v="0"/>
    <n v="420.56"/>
    <n v="4.7619047620000003"/>
    <n v="21.027999999999999"/>
    <n v="4.5"/>
  </r>
  <r>
    <s v="860-32-9265"/>
    <x v="2"/>
    <x v="1"/>
    <x v="0"/>
    <x v="0"/>
    <x v="0"/>
    <n v="60.08"/>
    <n v="7"/>
    <n v="21.027999999999999"/>
    <x v="711"/>
    <x v="83"/>
    <x v="212"/>
    <x v="0"/>
    <n v="420.56"/>
    <n v="4.7619047620000003"/>
    <n v="21.027999999999999"/>
    <n v="4.5"/>
  </r>
  <r>
    <s v="730-70-9830"/>
    <x v="0"/>
    <x v="1"/>
    <x v="1"/>
    <x v="1"/>
    <x v="3"/>
    <n v="70.11"/>
    <n v="6"/>
    <n v="21.033000000000001"/>
    <x v="712"/>
    <x v="45"/>
    <x v="406"/>
    <x v="1"/>
    <n v="420.66"/>
    <n v="4.7619047620000003"/>
    <n v="21.033000000000001"/>
    <n v="5.2"/>
  </r>
  <r>
    <s v="227-03-5010"/>
    <x v="1"/>
    <x v="2"/>
    <x v="0"/>
    <x v="1"/>
    <x v="3"/>
    <n v="52.59"/>
    <n v="8"/>
    <n v="21.036000000000001"/>
    <x v="713"/>
    <x v="10"/>
    <x v="66"/>
    <x v="2"/>
    <n v="420.72"/>
    <n v="4.7619047620000003"/>
    <n v="21.036000000000001"/>
    <n v="8.5"/>
  </r>
  <r>
    <s v="778-89-7974"/>
    <x v="0"/>
    <x v="0"/>
    <x v="1"/>
    <x v="0"/>
    <x v="4"/>
    <n v="70.209999999999994"/>
    <n v="6"/>
    <n v="21.062999999999999"/>
    <x v="714"/>
    <x v="80"/>
    <x v="428"/>
    <x v="0"/>
    <n v="421.26"/>
    <n v="4.7619047620000003"/>
    <n v="21.062999999999999"/>
    <n v="7.4"/>
  </r>
  <r>
    <s v="781-84-8059"/>
    <x v="0"/>
    <x v="1"/>
    <x v="1"/>
    <x v="0"/>
    <x v="1"/>
    <n v="60.74"/>
    <n v="7"/>
    <n v="21.259"/>
    <x v="715"/>
    <x v="40"/>
    <x v="165"/>
    <x v="0"/>
    <n v="425.18"/>
    <n v="4.7619047620000003"/>
    <n v="21.259"/>
    <n v="5"/>
  </r>
  <r>
    <s v="499-27-7781"/>
    <x v="2"/>
    <x v="1"/>
    <x v="1"/>
    <x v="1"/>
    <x v="2"/>
    <n v="53.21"/>
    <n v="8"/>
    <n v="21.283999999999999"/>
    <x v="716"/>
    <x v="45"/>
    <x v="234"/>
    <x v="0"/>
    <n v="425.68"/>
    <n v="4.7619047620000003"/>
    <n v="21.283999999999999"/>
    <n v="5"/>
  </r>
  <r>
    <s v="661-80-6321"/>
    <x v="2"/>
    <x v="1"/>
    <x v="1"/>
    <x v="0"/>
    <x v="2"/>
    <n v="53.21"/>
    <n v="8"/>
    <n v="21.283999999999999"/>
    <x v="716"/>
    <x v="45"/>
    <x v="234"/>
    <x v="1"/>
    <n v="425.68"/>
    <n v="4.7619047620000003"/>
    <n v="21.283999999999999"/>
    <n v="5"/>
  </r>
  <r>
    <s v="682-89-5092"/>
    <x v="2"/>
    <x v="0"/>
    <x v="1"/>
    <x v="0"/>
    <x v="2"/>
    <n v="53.21"/>
    <n v="8"/>
    <n v="21.283999999999999"/>
    <x v="716"/>
    <x v="45"/>
    <x v="234"/>
    <x v="1"/>
    <n v="425.68"/>
    <n v="4.7619047620000003"/>
    <n v="21.283999999999999"/>
    <n v="13.1"/>
  </r>
  <r>
    <s v="316-66-3011"/>
    <x v="1"/>
    <x v="1"/>
    <x v="0"/>
    <x v="1"/>
    <x v="2"/>
    <n v="47.63"/>
    <n v="9"/>
    <n v="21.433499999999999"/>
    <x v="717"/>
    <x v="27"/>
    <x v="429"/>
    <x v="0"/>
    <n v="428.67"/>
    <n v="4.7619047620000003"/>
    <n v="21.433499999999999"/>
    <n v="5"/>
  </r>
  <r>
    <s v="808-15-6097"/>
    <x v="1"/>
    <x v="2"/>
    <x v="0"/>
    <x v="0"/>
    <x v="2"/>
    <n v="47.63"/>
    <n v="9"/>
    <n v="21.433499999999999"/>
    <x v="717"/>
    <x v="27"/>
    <x v="429"/>
    <x v="0"/>
    <n v="428.67"/>
    <n v="4.7619047620000003"/>
    <n v="21.433499999999999"/>
    <n v="5"/>
  </r>
  <r>
    <s v="238-67-5096"/>
    <x v="1"/>
    <x v="1"/>
    <x v="0"/>
    <x v="1"/>
    <x v="2"/>
    <n v="47.63"/>
    <n v="9"/>
    <n v="21.433499999999999"/>
    <x v="717"/>
    <x v="27"/>
    <x v="429"/>
    <x v="0"/>
    <n v="428.67"/>
    <n v="4.7619047620000003"/>
    <n v="21.433499999999999"/>
    <n v="5"/>
  </r>
  <r>
    <s v="460-84-2431"/>
    <x v="1"/>
    <x v="2"/>
    <x v="1"/>
    <x v="0"/>
    <x v="0"/>
    <n v="85.91"/>
    <n v="5"/>
    <n v="21.477499999999999"/>
    <x v="718"/>
    <x v="10"/>
    <x v="246"/>
    <x v="2"/>
    <n v="429.55"/>
    <n v="4.7619047620000003"/>
    <n v="21.477499999999999"/>
    <n v="8.6"/>
  </r>
  <r>
    <s v="550-84-8664"/>
    <x v="0"/>
    <x v="2"/>
    <x v="1"/>
    <x v="0"/>
    <x v="0"/>
    <n v="85.91"/>
    <n v="5"/>
    <n v="21.477499999999999"/>
    <x v="718"/>
    <x v="10"/>
    <x v="246"/>
    <x v="2"/>
    <n v="429.55"/>
    <n v="4.7619047620000003"/>
    <n v="21.477499999999999"/>
    <n v="8.6"/>
  </r>
  <r>
    <s v="357-18-8389"/>
    <x v="0"/>
    <x v="0"/>
    <x v="1"/>
    <x v="0"/>
    <x v="5"/>
    <n v="61.41"/>
    <n v="7"/>
    <n v="21.493500000000001"/>
    <x v="719"/>
    <x v="9"/>
    <x v="15"/>
    <x v="0"/>
    <n v="429.87"/>
    <n v="4.7619047620000003"/>
    <n v="21.493500000000001"/>
    <n v="9.8000000000000007"/>
  </r>
  <r>
    <s v="426-39-2418"/>
    <x v="0"/>
    <x v="0"/>
    <x v="1"/>
    <x v="0"/>
    <x v="5"/>
    <n v="61.41"/>
    <n v="7"/>
    <n v="21.493500000000001"/>
    <x v="719"/>
    <x v="9"/>
    <x v="15"/>
    <x v="0"/>
    <n v="429.87"/>
    <n v="4.7619047620000003"/>
    <n v="21.493500000000001"/>
    <n v="9.8000000000000007"/>
  </r>
  <r>
    <s v="503-44-1234"/>
    <x v="0"/>
    <x v="0"/>
    <x v="1"/>
    <x v="0"/>
    <x v="2"/>
    <n v="61.41"/>
    <n v="7"/>
    <n v="21.493500000000001"/>
    <x v="719"/>
    <x v="9"/>
    <x v="15"/>
    <x v="0"/>
    <n v="429.87"/>
    <n v="4.7619047620000003"/>
    <n v="21.493500000000001"/>
    <n v="9.8000000000000007"/>
  </r>
  <r>
    <s v="723-25-8257"/>
    <x v="0"/>
    <x v="0"/>
    <x v="1"/>
    <x v="0"/>
    <x v="5"/>
    <n v="61.41"/>
    <n v="7"/>
    <n v="21.493500000000001"/>
    <x v="719"/>
    <x v="9"/>
    <x v="15"/>
    <x v="0"/>
    <n v="429.87"/>
    <n v="4.7619047620000003"/>
    <n v="21.493500000000001"/>
    <n v="9.8000000000000007"/>
  </r>
  <r>
    <s v="300-71-4605"/>
    <x v="0"/>
    <x v="0"/>
    <x v="0"/>
    <x v="0"/>
    <x v="5"/>
    <n v="86.04"/>
    <n v="5"/>
    <n v="21.51"/>
    <x v="720"/>
    <x v="42"/>
    <x v="430"/>
    <x v="0"/>
    <n v="430.2"/>
    <n v="4.7619047620000003"/>
    <n v="21.51"/>
    <n v="4.8"/>
  </r>
  <r>
    <s v="693-89-9085"/>
    <x v="0"/>
    <x v="0"/>
    <x v="0"/>
    <x v="0"/>
    <x v="5"/>
    <n v="86.04"/>
    <n v="5"/>
    <n v="21.51"/>
    <x v="720"/>
    <x v="42"/>
    <x v="430"/>
    <x v="1"/>
    <n v="430.2"/>
    <n v="4.7619047620000003"/>
    <n v="21.51"/>
    <n v="4.8"/>
  </r>
  <r>
    <s v="370-78-3838"/>
    <x v="1"/>
    <x v="0"/>
    <x v="0"/>
    <x v="0"/>
    <x v="5"/>
    <n v="86.04"/>
    <n v="5"/>
    <n v="21.51"/>
    <x v="720"/>
    <x v="42"/>
    <x v="430"/>
    <x v="0"/>
    <n v="430.2"/>
    <n v="4.7619047620000003"/>
    <n v="21.51"/>
    <n v="4.8"/>
  </r>
  <r>
    <s v="405-31-3305"/>
    <x v="0"/>
    <x v="2"/>
    <x v="0"/>
    <x v="0"/>
    <x v="1"/>
    <n v="43.13"/>
    <n v="10"/>
    <n v="21.565000000000001"/>
    <x v="721"/>
    <x v="11"/>
    <x v="381"/>
    <x v="0"/>
    <n v="431.3"/>
    <n v="4.7619047620000003"/>
    <n v="21.565000000000001"/>
    <n v="5.5"/>
  </r>
  <r>
    <s v="943-44-4556"/>
    <x v="1"/>
    <x v="1"/>
    <x v="0"/>
    <x v="0"/>
    <x v="2"/>
    <n v="43.13"/>
    <n v="10"/>
    <n v="21.565000000000001"/>
    <x v="721"/>
    <x v="11"/>
    <x v="381"/>
    <x v="0"/>
    <n v="431.3"/>
    <n v="4.7619047620000003"/>
    <n v="21.565000000000001"/>
    <n v="5.5"/>
  </r>
  <r>
    <s v="214-45-4141"/>
    <x v="0"/>
    <x v="2"/>
    <x v="0"/>
    <x v="0"/>
    <x v="1"/>
    <n v="43.13"/>
    <n v="10"/>
    <n v="21.565000000000001"/>
    <x v="721"/>
    <x v="11"/>
    <x v="381"/>
    <x v="0"/>
    <n v="431.3"/>
    <n v="4.7619047620000003"/>
    <n v="21.565000000000001"/>
    <n v="5.5"/>
  </r>
  <r>
    <s v="252-56-2699"/>
    <x v="1"/>
    <x v="2"/>
    <x v="1"/>
    <x v="0"/>
    <x v="2"/>
    <n v="43.19"/>
    <n v="10"/>
    <n v="21.594999999999999"/>
    <x v="722"/>
    <x v="0"/>
    <x v="366"/>
    <x v="1"/>
    <n v="431.9"/>
    <n v="4.7619047620000003"/>
    <n v="21.594999999999999"/>
    <n v="8.1999999999999993"/>
  </r>
  <r>
    <s v="555-22-9150"/>
    <x v="1"/>
    <x v="2"/>
    <x v="1"/>
    <x v="0"/>
    <x v="2"/>
    <n v="43.19"/>
    <n v="10"/>
    <n v="21.594999999999999"/>
    <x v="722"/>
    <x v="0"/>
    <x v="366"/>
    <x v="1"/>
    <n v="431.9"/>
    <n v="4.7619047620000003"/>
    <n v="21.594999999999999"/>
    <n v="8.1999999999999993"/>
  </r>
  <r>
    <s v="401-09-4232"/>
    <x v="0"/>
    <x v="1"/>
    <x v="0"/>
    <x v="0"/>
    <x v="3"/>
    <n v="86.69"/>
    <n v="5"/>
    <n v="21.672499999999999"/>
    <x v="723"/>
    <x v="88"/>
    <x v="431"/>
    <x v="0"/>
    <n v="433.45"/>
    <n v="4.7619047620000003"/>
    <n v="21.672499999999999"/>
    <n v="9.4"/>
  </r>
  <r>
    <s v="794-42-4509"/>
    <x v="0"/>
    <x v="1"/>
    <x v="0"/>
    <x v="0"/>
    <x v="3"/>
    <n v="86.69"/>
    <n v="5"/>
    <n v="21.672499999999999"/>
    <x v="723"/>
    <x v="88"/>
    <x v="431"/>
    <x v="0"/>
    <n v="433.45"/>
    <n v="4.7619047620000003"/>
    <n v="21.672499999999999"/>
    <n v="9.4"/>
  </r>
  <r>
    <s v="356-59-5578"/>
    <x v="2"/>
    <x v="1"/>
    <x v="1"/>
    <x v="0"/>
    <x v="2"/>
    <n v="62.08"/>
    <n v="7"/>
    <n v="21.728000000000002"/>
    <x v="724"/>
    <x v="37"/>
    <x v="54"/>
    <x v="0"/>
    <n v="434.56"/>
    <n v="4.7619047620000003"/>
    <n v="21.728000000000002"/>
    <n v="5.4"/>
  </r>
  <r>
    <s v="468-01-2051"/>
    <x v="2"/>
    <x v="1"/>
    <x v="1"/>
    <x v="0"/>
    <x v="2"/>
    <n v="62.08"/>
    <n v="7"/>
    <n v="21.728000000000002"/>
    <x v="724"/>
    <x v="37"/>
    <x v="54"/>
    <x v="1"/>
    <n v="434.56"/>
    <n v="4.7619047620000003"/>
    <n v="21.728000000000002"/>
    <n v="5.4"/>
  </r>
  <r>
    <s v="621-43-1837"/>
    <x v="0"/>
    <x v="1"/>
    <x v="1"/>
    <x v="0"/>
    <x v="2"/>
    <n v="62.08"/>
    <n v="7"/>
    <n v="21.728000000000002"/>
    <x v="724"/>
    <x v="37"/>
    <x v="54"/>
    <x v="0"/>
    <n v="434.56"/>
    <n v="4.7619047620000003"/>
    <n v="21.728000000000002"/>
    <n v="5.4"/>
  </r>
  <r>
    <s v="327-40-9673"/>
    <x v="0"/>
    <x v="1"/>
    <x v="0"/>
    <x v="0"/>
    <x v="0"/>
    <n v="72.599999999999994"/>
    <n v="6"/>
    <n v="21.78"/>
    <x v="725"/>
    <x v="75"/>
    <x v="432"/>
    <x v="0"/>
    <n v="435.6"/>
    <n v="4.7619047620000003"/>
    <n v="21.78"/>
    <n v="6.9"/>
  </r>
  <r>
    <s v="499-47-9466"/>
    <x v="2"/>
    <x v="1"/>
    <x v="0"/>
    <x v="0"/>
    <x v="0"/>
    <n v="72.599999999999994"/>
    <n v="6"/>
    <n v="21.78"/>
    <x v="725"/>
    <x v="75"/>
    <x v="432"/>
    <x v="0"/>
    <n v="435.6"/>
    <n v="4.7619047620000003"/>
    <n v="21.78"/>
    <n v="6.9"/>
  </r>
  <r>
    <s v="150-93-9866"/>
    <x v="0"/>
    <x v="1"/>
    <x v="0"/>
    <x v="0"/>
    <x v="0"/>
    <n v="72.599999999999994"/>
    <n v="6"/>
    <n v="21.78"/>
    <x v="725"/>
    <x v="75"/>
    <x v="432"/>
    <x v="0"/>
    <n v="435.6"/>
    <n v="4.7619047620000003"/>
    <n v="21.78"/>
    <n v="6.9"/>
  </r>
  <r>
    <s v="765-26-6951"/>
    <x v="1"/>
    <x v="2"/>
    <x v="1"/>
    <x v="0"/>
    <x v="0"/>
    <n v="72.61"/>
    <n v="6"/>
    <n v="21.783000000000001"/>
    <x v="726"/>
    <x v="85"/>
    <x v="337"/>
    <x v="2"/>
    <n v="435.66"/>
    <n v="4.7619047620000003"/>
    <n v="21.783000000000001"/>
    <n v="6.9"/>
  </r>
  <r>
    <s v="800-09-8606"/>
    <x v="0"/>
    <x v="2"/>
    <x v="0"/>
    <x v="1"/>
    <x v="3"/>
    <n v="87.37"/>
    <n v="5"/>
    <n v="21.842500000000001"/>
    <x v="727"/>
    <x v="38"/>
    <x v="433"/>
    <x v="0"/>
    <n v="436.85"/>
    <n v="4.7619047620000003"/>
    <n v="21.842500000000001"/>
    <n v="6.6"/>
  </r>
  <r>
    <s v="462-67-9126"/>
    <x v="1"/>
    <x v="1"/>
    <x v="1"/>
    <x v="0"/>
    <x v="3"/>
    <n v="73.22"/>
    <n v="6"/>
    <n v="21.966000000000001"/>
    <x v="728"/>
    <x v="69"/>
    <x v="338"/>
    <x v="0"/>
    <n v="439.32"/>
    <n v="4.7619047620000003"/>
    <n v="21.966000000000001"/>
    <n v="7.2"/>
  </r>
  <r>
    <s v="333-73-7901"/>
    <x v="0"/>
    <x v="0"/>
    <x v="1"/>
    <x v="0"/>
    <x v="4"/>
    <n v="54.92"/>
    <n v="8"/>
    <n v="21.968"/>
    <x v="729"/>
    <x v="19"/>
    <x v="87"/>
    <x v="0"/>
    <n v="439.36"/>
    <n v="4.7619047620000003"/>
    <n v="21.968"/>
    <n v="7.6"/>
  </r>
  <r>
    <s v="935-49-0544"/>
    <x v="0"/>
    <x v="0"/>
    <x v="1"/>
    <x v="0"/>
    <x v="4"/>
    <n v="54.92"/>
    <n v="8"/>
    <n v="21.968"/>
    <x v="729"/>
    <x v="19"/>
    <x v="87"/>
    <x v="0"/>
    <n v="439.36"/>
    <n v="4.7619047620000003"/>
    <n v="21.968"/>
    <n v="7.6"/>
  </r>
  <r>
    <s v="678-72-2766"/>
    <x v="0"/>
    <x v="0"/>
    <x v="0"/>
    <x v="0"/>
    <x v="5"/>
    <n v="87.91"/>
    <n v="5"/>
    <n v="21.977499999999999"/>
    <x v="730"/>
    <x v="45"/>
    <x v="22"/>
    <x v="1"/>
    <n v="439.55"/>
    <n v="4.7619047620000003"/>
    <n v="21.977499999999999"/>
    <n v="4.4000000000000004"/>
  </r>
  <r>
    <s v="840-19-2096"/>
    <x v="0"/>
    <x v="0"/>
    <x v="0"/>
    <x v="0"/>
    <x v="5"/>
    <n v="87.91"/>
    <n v="5"/>
    <n v="21.977499999999999"/>
    <x v="730"/>
    <x v="45"/>
    <x v="22"/>
    <x v="0"/>
    <n v="439.55"/>
    <n v="4.7619047620000003"/>
    <n v="21.977499999999999"/>
    <n v="4.4000000000000004"/>
  </r>
  <r>
    <s v="364-37-1995"/>
    <x v="0"/>
    <x v="0"/>
    <x v="0"/>
    <x v="0"/>
    <x v="5"/>
    <n v="87.91"/>
    <n v="5"/>
    <n v="21.977499999999999"/>
    <x v="730"/>
    <x v="45"/>
    <x v="22"/>
    <x v="1"/>
    <n v="439.55"/>
    <n v="4.7619047620000003"/>
    <n v="21.977499999999999"/>
    <n v="2"/>
  </r>
  <r>
    <s v="828-61-5674"/>
    <x v="1"/>
    <x v="1"/>
    <x v="0"/>
    <x v="0"/>
    <x v="0"/>
    <n v="44.02"/>
    <n v="10"/>
    <n v="22.01"/>
    <x v="731"/>
    <x v="34"/>
    <x v="277"/>
    <x v="2"/>
    <n v="440.2"/>
    <n v="4.7619047620000003"/>
    <n v="22.01"/>
    <n v="9.6"/>
  </r>
  <r>
    <s v="759-29-9521"/>
    <x v="1"/>
    <x v="1"/>
    <x v="0"/>
    <x v="1"/>
    <x v="1"/>
    <n v="48.96"/>
    <n v="9"/>
    <n v="22.032"/>
    <x v="732"/>
    <x v="26"/>
    <x v="323"/>
    <x v="0"/>
    <n v="440.64"/>
    <n v="4.7619047620000003"/>
    <n v="22.032"/>
    <n v="8"/>
  </r>
  <r>
    <s v="263-10-3913"/>
    <x v="0"/>
    <x v="0"/>
    <x v="0"/>
    <x v="0"/>
    <x v="1"/>
    <n v="49.04"/>
    <n v="9"/>
    <n v="22.068000000000001"/>
    <x v="733"/>
    <x v="62"/>
    <x v="434"/>
    <x v="2"/>
    <n v="441.36"/>
    <n v="4.7619047620000003"/>
    <n v="22.068000000000001"/>
    <n v="8.6"/>
  </r>
  <r>
    <s v="145-94-9061"/>
    <x v="2"/>
    <x v="1"/>
    <x v="1"/>
    <x v="1"/>
    <x v="2"/>
    <n v="88.36"/>
    <n v="5"/>
    <n v="22.09"/>
    <x v="734"/>
    <x v="6"/>
    <x v="105"/>
    <x v="0"/>
    <n v="441.8"/>
    <n v="4.7619047620000003"/>
    <n v="22.09"/>
    <n v="9.6"/>
  </r>
  <r>
    <s v="888-44-3398"/>
    <x v="2"/>
    <x v="1"/>
    <x v="1"/>
    <x v="1"/>
    <x v="2"/>
    <n v="88.36"/>
    <n v="5"/>
    <n v="22.09"/>
    <x v="734"/>
    <x v="6"/>
    <x v="105"/>
    <x v="0"/>
    <n v="441.8"/>
    <n v="4.7619047620000003"/>
    <n v="22.09"/>
    <n v="9.6"/>
  </r>
  <r>
    <s v="407-63-8975"/>
    <x v="1"/>
    <x v="2"/>
    <x v="1"/>
    <x v="0"/>
    <x v="2"/>
    <n v="73.88"/>
    <n v="6"/>
    <n v="22.164000000000001"/>
    <x v="735"/>
    <x v="19"/>
    <x v="315"/>
    <x v="0"/>
    <n v="443.28"/>
    <n v="4.7619047620000003"/>
    <n v="22.164000000000001"/>
    <n v="4.4000000000000004"/>
  </r>
  <r>
    <s v="582-21-3847"/>
    <x v="1"/>
    <x v="2"/>
    <x v="1"/>
    <x v="0"/>
    <x v="2"/>
    <n v="73.88"/>
    <n v="6"/>
    <n v="22.164000000000001"/>
    <x v="735"/>
    <x v="19"/>
    <x v="315"/>
    <x v="1"/>
    <n v="443.28"/>
    <n v="4.7619047620000003"/>
    <n v="22.164000000000001"/>
    <n v="4.4000000000000004"/>
  </r>
  <r>
    <s v="800-49-5686"/>
    <x v="0"/>
    <x v="2"/>
    <x v="1"/>
    <x v="0"/>
    <x v="2"/>
    <n v="73.88"/>
    <n v="6"/>
    <n v="22.164000000000001"/>
    <x v="735"/>
    <x v="19"/>
    <x v="315"/>
    <x v="0"/>
    <n v="443.28"/>
    <n v="4.7619047620000003"/>
    <n v="22.164000000000001"/>
    <n v="4.4000000000000004"/>
  </r>
  <r>
    <s v="760-90-2357"/>
    <x v="0"/>
    <x v="2"/>
    <x v="0"/>
    <x v="0"/>
    <x v="5"/>
    <n v="74.510000000000005"/>
    <n v="6"/>
    <n v="22.353000000000002"/>
    <x v="736"/>
    <x v="34"/>
    <x v="51"/>
    <x v="1"/>
    <n v="447.06"/>
    <n v="4.7619047620000003"/>
    <n v="22.353000000000002"/>
    <n v="5"/>
  </r>
  <r>
    <s v="885-11-3607"/>
    <x v="1"/>
    <x v="1"/>
    <x v="0"/>
    <x v="0"/>
    <x v="2"/>
    <n v="74.510000000000005"/>
    <n v="6"/>
    <n v="22.353000000000002"/>
    <x v="736"/>
    <x v="34"/>
    <x v="51"/>
    <x v="1"/>
    <n v="447.06"/>
    <n v="4.7619047620000003"/>
    <n v="22.353000000000002"/>
    <n v="5"/>
  </r>
  <r>
    <s v="361-85-2571"/>
    <x v="1"/>
    <x v="2"/>
    <x v="1"/>
    <x v="1"/>
    <x v="0"/>
    <n v="89.48"/>
    <n v="5"/>
    <n v="22.37"/>
    <x v="737"/>
    <x v="80"/>
    <x v="27"/>
    <x v="0"/>
    <n v="447.4"/>
    <n v="4.7619047620000003"/>
    <n v="22.37"/>
    <n v="7.4"/>
  </r>
  <r>
    <s v="672-62-2988"/>
    <x v="1"/>
    <x v="2"/>
    <x v="1"/>
    <x v="0"/>
    <x v="0"/>
    <n v="89.48"/>
    <n v="5"/>
    <n v="22.37"/>
    <x v="737"/>
    <x v="80"/>
    <x v="27"/>
    <x v="0"/>
    <n v="447.4"/>
    <n v="4.7619047620000003"/>
    <n v="22.37"/>
    <n v="7.4"/>
  </r>
  <r>
    <s v="994-21-8646"/>
    <x v="0"/>
    <x v="2"/>
    <x v="1"/>
    <x v="1"/>
    <x v="2"/>
    <n v="89.48"/>
    <n v="5"/>
    <n v="22.37"/>
    <x v="737"/>
    <x v="80"/>
    <x v="27"/>
    <x v="0"/>
    <n v="447.4"/>
    <n v="4.7619047620000003"/>
    <n v="22.37"/>
    <n v="7.4"/>
  </r>
  <r>
    <s v="625-36-4223"/>
    <x v="1"/>
    <x v="2"/>
    <x v="1"/>
    <x v="0"/>
    <x v="0"/>
    <n v="89.48"/>
    <n v="5"/>
    <n v="22.37"/>
    <x v="737"/>
    <x v="80"/>
    <x v="27"/>
    <x v="0"/>
    <n v="447.4"/>
    <n v="4.7619047620000003"/>
    <n v="22.37"/>
    <n v="13.2"/>
  </r>
  <r>
    <s v="578-52-2888"/>
    <x v="2"/>
    <x v="1"/>
    <x v="1"/>
    <x v="0"/>
    <x v="5"/>
    <n v="74.709999999999994"/>
    <n v="6"/>
    <n v="22.413"/>
    <x v="738"/>
    <x v="85"/>
    <x v="104"/>
    <x v="0"/>
    <n v="448.26"/>
    <n v="4.7619047620000003"/>
    <n v="22.413"/>
    <n v="6.7"/>
  </r>
  <r>
    <s v="891-01-7034"/>
    <x v="0"/>
    <x v="1"/>
    <x v="1"/>
    <x v="1"/>
    <x v="2"/>
    <n v="74.709999999999994"/>
    <n v="6"/>
    <n v="22.413"/>
    <x v="738"/>
    <x v="85"/>
    <x v="104"/>
    <x v="0"/>
    <n v="448.26"/>
    <n v="4.7619047620000003"/>
    <n v="22.413"/>
    <n v="6.7"/>
  </r>
  <r>
    <s v="458-10-8612"/>
    <x v="0"/>
    <x v="0"/>
    <x v="1"/>
    <x v="0"/>
    <x v="4"/>
    <n v="64.08"/>
    <n v="7"/>
    <n v="22.428000000000001"/>
    <x v="739"/>
    <x v="84"/>
    <x v="263"/>
    <x v="0"/>
    <n v="448.56"/>
    <n v="4.7619047620000003"/>
    <n v="22.428000000000001"/>
    <n v="7.6"/>
  </r>
  <r>
    <s v="752-23-3760"/>
    <x v="0"/>
    <x v="1"/>
    <x v="0"/>
    <x v="1"/>
    <x v="0"/>
    <n v="64.08"/>
    <n v="7"/>
    <n v="22.428000000000001"/>
    <x v="739"/>
    <x v="87"/>
    <x v="435"/>
    <x v="2"/>
    <n v="448.56"/>
    <n v="4.7619047620000003"/>
    <n v="22.428000000000001"/>
    <n v="7.3"/>
  </r>
  <r>
    <s v="902-36-6169"/>
    <x v="2"/>
    <x v="1"/>
    <x v="0"/>
    <x v="0"/>
    <x v="2"/>
    <n v="64.08"/>
    <n v="7"/>
    <n v="22.428000000000001"/>
    <x v="739"/>
    <x v="87"/>
    <x v="435"/>
    <x v="2"/>
    <n v="448.56"/>
    <n v="4.7619047620000003"/>
    <n v="22.428000000000001"/>
    <n v="7.3"/>
  </r>
  <r>
    <s v="225-32-0908"/>
    <x v="0"/>
    <x v="0"/>
    <x v="1"/>
    <x v="0"/>
    <x v="0"/>
    <n v="44.86"/>
    <n v="10"/>
    <n v="22.43"/>
    <x v="740"/>
    <x v="1"/>
    <x v="386"/>
    <x v="1"/>
    <n v="448.6"/>
    <n v="4.7619047620000003"/>
    <n v="22.43"/>
    <n v="8.1999999999999993"/>
  </r>
  <r>
    <s v="130-98-8941"/>
    <x v="0"/>
    <x v="0"/>
    <x v="1"/>
    <x v="0"/>
    <x v="1"/>
    <n v="64.260000000000005"/>
    <n v="7"/>
    <n v="22.491"/>
    <x v="741"/>
    <x v="14"/>
    <x v="115"/>
    <x v="0"/>
    <n v="449.82"/>
    <n v="4.7619047620000003"/>
    <n v="22.491"/>
    <n v="5.7"/>
  </r>
  <r>
    <s v="268-27-6179"/>
    <x v="2"/>
    <x v="1"/>
    <x v="0"/>
    <x v="0"/>
    <x v="1"/>
    <n v="56.47"/>
    <n v="8"/>
    <n v="22.588000000000001"/>
    <x v="742"/>
    <x v="8"/>
    <x v="436"/>
    <x v="1"/>
    <n v="451.76"/>
    <n v="4.7619047620000003"/>
    <n v="22.588000000000001"/>
    <n v="7.3"/>
  </r>
  <r>
    <s v="501-14-6439"/>
    <x v="0"/>
    <x v="0"/>
    <x v="0"/>
    <x v="0"/>
    <x v="2"/>
    <n v="50.49"/>
    <n v="9"/>
    <n v="22.720500000000001"/>
    <x v="743"/>
    <x v="56"/>
    <x v="149"/>
    <x v="0"/>
    <n v="454.41"/>
    <n v="4.7619047620000003"/>
    <n v="22.720500000000001"/>
    <n v="5.4"/>
  </r>
  <r>
    <s v="577-34-7579"/>
    <x v="0"/>
    <x v="0"/>
    <x v="0"/>
    <x v="0"/>
    <x v="2"/>
    <n v="50.49"/>
    <n v="9"/>
    <n v="22.720500000000001"/>
    <x v="743"/>
    <x v="56"/>
    <x v="149"/>
    <x v="0"/>
    <n v="454.41"/>
    <n v="4.7619047620000003"/>
    <n v="22.720500000000001"/>
    <n v="5.4"/>
  </r>
  <r>
    <s v="609-23-5171"/>
    <x v="1"/>
    <x v="2"/>
    <x v="1"/>
    <x v="0"/>
    <x v="5"/>
    <n v="45.48"/>
    <n v="10"/>
    <n v="22.74"/>
    <x v="744"/>
    <x v="47"/>
    <x v="72"/>
    <x v="2"/>
    <n v="454.8"/>
    <n v="4.7619047620000003"/>
    <n v="22.74"/>
    <n v="4.8"/>
  </r>
  <r>
    <s v="811-03-8790"/>
    <x v="0"/>
    <x v="2"/>
    <x v="1"/>
    <x v="1"/>
    <x v="5"/>
    <n v="45.48"/>
    <n v="10"/>
    <n v="22.74"/>
    <x v="744"/>
    <x v="47"/>
    <x v="72"/>
    <x v="2"/>
    <n v="454.8"/>
    <n v="4.7619047620000003"/>
    <n v="22.74"/>
    <n v="4.8"/>
  </r>
  <r>
    <s v="527-71-4288"/>
    <x v="1"/>
    <x v="2"/>
    <x v="1"/>
    <x v="0"/>
    <x v="5"/>
    <n v="45.48"/>
    <n v="10"/>
    <n v="22.74"/>
    <x v="744"/>
    <x v="47"/>
    <x v="72"/>
    <x v="2"/>
    <n v="454.8"/>
    <n v="4.7619047620000003"/>
    <n v="22.74"/>
    <n v="13.3"/>
  </r>
  <r>
    <s v="542-73-4010"/>
    <x v="0"/>
    <x v="0"/>
    <x v="1"/>
    <x v="0"/>
    <x v="5"/>
    <n v="75.91"/>
    <n v="6"/>
    <n v="22.773"/>
    <x v="745"/>
    <x v="8"/>
    <x v="437"/>
    <x v="0"/>
    <n v="455.46"/>
    <n v="4.7619047620000003"/>
    <n v="22.773"/>
    <n v="8.6999999999999993"/>
  </r>
  <r>
    <s v="841-35-6630"/>
    <x v="0"/>
    <x v="0"/>
    <x v="1"/>
    <x v="0"/>
    <x v="5"/>
    <n v="75.91"/>
    <n v="6"/>
    <n v="22.773"/>
    <x v="745"/>
    <x v="8"/>
    <x v="437"/>
    <x v="0"/>
    <n v="455.46"/>
    <n v="4.7619047620000003"/>
    <n v="22.773"/>
    <n v="8.6999999999999993"/>
  </r>
  <r>
    <s v="809-69-9497"/>
    <x v="1"/>
    <x v="2"/>
    <x v="1"/>
    <x v="1"/>
    <x v="3"/>
    <n v="45.68"/>
    <n v="10"/>
    <n v="22.84"/>
    <x v="746"/>
    <x v="35"/>
    <x v="123"/>
    <x v="0"/>
    <n v="456.8"/>
    <n v="4.7619047620000003"/>
    <n v="22.84"/>
    <n v="5.7"/>
  </r>
  <r>
    <s v="522-85-2496"/>
    <x v="1"/>
    <x v="2"/>
    <x v="0"/>
    <x v="0"/>
    <x v="0"/>
    <n v="91.41"/>
    <n v="5"/>
    <n v="22.852499999999999"/>
    <x v="747"/>
    <x v="42"/>
    <x v="438"/>
    <x v="1"/>
    <n v="457.05"/>
    <n v="4.7619047620000003"/>
    <n v="22.852499999999999"/>
    <n v="7.1"/>
  </r>
  <r>
    <s v="719-89-8991"/>
    <x v="0"/>
    <x v="2"/>
    <x v="0"/>
    <x v="1"/>
    <x v="0"/>
    <n v="91.41"/>
    <n v="5"/>
    <n v="22.852499999999999"/>
    <x v="747"/>
    <x v="42"/>
    <x v="438"/>
    <x v="1"/>
    <n v="457.05"/>
    <n v="4.7619047620000003"/>
    <n v="22.852499999999999"/>
    <n v="7.1"/>
  </r>
  <r>
    <s v="102-77-2261"/>
    <x v="0"/>
    <x v="1"/>
    <x v="0"/>
    <x v="0"/>
    <x v="4"/>
    <n v="65.31"/>
    <n v="7"/>
    <n v="22.858499999999999"/>
    <x v="748"/>
    <x v="53"/>
    <x v="65"/>
    <x v="2"/>
    <n v="457.17"/>
    <n v="4.7619047620000003"/>
    <n v="22.858499999999999"/>
    <n v="4.2"/>
  </r>
  <r>
    <s v="782-95-9291"/>
    <x v="1"/>
    <x v="2"/>
    <x v="0"/>
    <x v="0"/>
    <x v="2"/>
    <n v="92.29"/>
    <n v="5"/>
    <n v="23.072500000000002"/>
    <x v="749"/>
    <x v="76"/>
    <x v="368"/>
    <x v="2"/>
    <n v="461.45"/>
    <n v="4.7619047620000003"/>
    <n v="23.072500000000002"/>
    <n v="9"/>
  </r>
  <r>
    <s v="841-18-5182"/>
    <x v="1"/>
    <x v="2"/>
    <x v="0"/>
    <x v="0"/>
    <x v="2"/>
    <n v="92.29"/>
    <n v="5"/>
    <n v="23.072500000000002"/>
    <x v="749"/>
    <x v="76"/>
    <x v="368"/>
    <x v="2"/>
    <n v="461.45"/>
    <n v="4.7619047620000003"/>
    <n v="23.072500000000002"/>
    <n v="9"/>
  </r>
  <r>
    <s v="142-63-6033"/>
    <x v="2"/>
    <x v="1"/>
    <x v="1"/>
    <x v="0"/>
    <x v="3"/>
    <n v="92.36"/>
    <n v="5"/>
    <n v="23.09"/>
    <x v="750"/>
    <x v="34"/>
    <x v="56"/>
    <x v="1"/>
    <n v="461.8"/>
    <n v="4.7619047620000003"/>
    <n v="23.09"/>
    <n v="4.9000000000000004"/>
  </r>
  <r>
    <s v="122-61-9553"/>
    <x v="0"/>
    <x v="1"/>
    <x v="1"/>
    <x v="1"/>
    <x v="5"/>
    <n v="51.32"/>
    <n v="9"/>
    <n v="23.094000000000001"/>
    <x v="751"/>
    <x v="45"/>
    <x v="279"/>
    <x v="0"/>
    <n v="461.88"/>
    <n v="4.7619047620000003"/>
    <n v="23.094000000000001"/>
    <n v="5.6"/>
  </r>
  <r>
    <s v="913-42-4981"/>
    <x v="0"/>
    <x v="1"/>
    <x v="1"/>
    <x v="0"/>
    <x v="2"/>
    <n v="51.32"/>
    <n v="9"/>
    <n v="23.094000000000001"/>
    <x v="751"/>
    <x v="45"/>
    <x v="279"/>
    <x v="0"/>
    <n v="461.88"/>
    <n v="4.7619047620000003"/>
    <n v="23.094000000000001"/>
    <n v="5.6"/>
  </r>
  <r>
    <s v="318-68-5053"/>
    <x v="2"/>
    <x v="1"/>
    <x v="1"/>
    <x v="0"/>
    <x v="4"/>
    <n v="76.989999999999995"/>
    <n v="6"/>
    <n v="23.097000000000001"/>
    <x v="752"/>
    <x v="46"/>
    <x v="362"/>
    <x v="0"/>
    <n v="461.94"/>
    <n v="4.7619047620000003"/>
    <n v="23.097000000000001"/>
    <n v="6.1"/>
  </r>
  <r>
    <s v="183-77-0636"/>
    <x v="2"/>
    <x v="1"/>
    <x v="1"/>
    <x v="0"/>
    <x v="4"/>
    <n v="76.989999999999995"/>
    <n v="6"/>
    <n v="23.097000000000001"/>
    <x v="752"/>
    <x v="46"/>
    <x v="362"/>
    <x v="0"/>
    <n v="461.94"/>
    <n v="4.7619047620000003"/>
    <n v="23.097000000000001"/>
    <n v="6.1"/>
  </r>
  <r>
    <s v="607-76-6216"/>
    <x v="0"/>
    <x v="1"/>
    <x v="0"/>
    <x v="1"/>
    <x v="1"/>
    <n v="92.49"/>
    <n v="5"/>
    <n v="23.122499999999999"/>
    <x v="753"/>
    <x v="23"/>
    <x v="439"/>
    <x v="2"/>
    <n v="462.45"/>
    <n v="4.7619047620000003"/>
    <n v="23.122499999999999"/>
    <n v="8.6"/>
  </r>
  <r>
    <s v="458-29-5358"/>
    <x v="0"/>
    <x v="1"/>
    <x v="0"/>
    <x v="1"/>
    <x v="1"/>
    <n v="92.49"/>
    <n v="5"/>
    <n v="23.122499999999999"/>
    <x v="753"/>
    <x v="23"/>
    <x v="439"/>
    <x v="2"/>
    <n v="462.45"/>
    <n v="4.7619047620000003"/>
    <n v="23.122499999999999"/>
    <n v="2"/>
  </r>
  <r>
    <s v="114-35-5271"/>
    <x v="2"/>
    <x v="1"/>
    <x v="1"/>
    <x v="1"/>
    <x v="5"/>
    <n v="57.91"/>
    <n v="8"/>
    <n v="23.164000000000001"/>
    <x v="754"/>
    <x v="0"/>
    <x v="297"/>
    <x v="0"/>
    <n v="463.28"/>
    <n v="4.7619047620000003"/>
    <n v="23.164000000000001"/>
    <n v="8.1"/>
  </r>
  <r>
    <s v="612-54-7702"/>
    <x v="2"/>
    <x v="1"/>
    <x v="1"/>
    <x v="0"/>
    <x v="5"/>
    <n v="57.91"/>
    <n v="8"/>
    <n v="23.164000000000001"/>
    <x v="754"/>
    <x v="0"/>
    <x v="297"/>
    <x v="0"/>
    <n v="463.28"/>
    <n v="4.7619047620000003"/>
    <n v="23.164000000000001"/>
    <n v="8.1"/>
  </r>
  <r>
    <s v="981-56-2140"/>
    <x v="2"/>
    <x v="1"/>
    <x v="1"/>
    <x v="0"/>
    <x v="5"/>
    <n v="57.91"/>
    <n v="8"/>
    <n v="23.164000000000001"/>
    <x v="754"/>
    <x v="0"/>
    <x v="297"/>
    <x v="0"/>
    <n v="463.28"/>
    <n v="4.7619047620000003"/>
    <n v="23.164000000000001"/>
    <n v="13.4"/>
  </r>
  <r>
    <s v="206-35-4491"/>
    <x v="0"/>
    <x v="0"/>
    <x v="0"/>
    <x v="0"/>
    <x v="5"/>
    <n v="46.57"/>
    <n v="10"/>
    <n v="23.285"/>
    <x v="755"/>
    <x v="17"/>
    <x v="150"/>
    <x v="0"/>
    <n v="465.7"/>
    <n v="4.7619047620000003"/>
    <n v="23.285"/>
    <n v="7.6"/>
  </r>
  <r>
    <s v="325-90-8763"/>
    <x v="0"/>
    <x v="0"/>
    <x v="0"/>
    <x v="1"/>
    <x v="5"/>
    <n v="46.57"/>
    <n v="10"/>
    <n v="23.285"/>
    <x v="755"/>
    <x v="17"/>
    <x v="150"/>
    <x v="0"/>
    <n v="465.7"/>
    <n v="4.7619047620000003"/>
    <n v="23.285"/>
    <n v="7.6"/>
  </r>
  <r>
    <s v="798-34-8143"/>
    <x v="0"/>
    <x v="0"/>
    <x v="0"/>
    <x v="1"/>
    <x v="5"/>
    <n v="46.57"/>
    <n v="10"/>
    <n v="23.285"/>
    <x v="755"/>
    <x v="17"/>
    <x v="150"/>
    <x v="0"/>
    <n v="465.7"/>
    <n v="4.7619047620000003"/>
    <n v="23.285"/>
    <n v="7.6"/>
  </r>
  <r>
    <s v="123-19-1176"/>
    <x v="1"/>
    <x v="2"/>
    <x v="1"/>
    <x v="0"/>
    <x v="4"/>
    <n v="58.22"/>
    <n v="8"/>
    <n v="23.288"/>
    <x v="756"/>
    <x v="17"/>
    <x v="440"/>
    <x v="1"/>
    <n v="465.76"/>
    <n v="4.7619047620000003"/>
    <n v="23.288"/>
    <n v="8.4"/>
  </r>
  <r>
    <s v="239-10-7476"/>
    <x v="1"/>
    <x v="2"/>
    <x v="1"/>
    <x v="0"/>
    <x v="3"/>
    <n v="77.95"/>
    <n v="6"/>
    <n v="23.385000000000002"/>
    <x v="757"/>
    <x v="69"/>
    <x v="441"/>
    <x v="1"/>
    <n v="467.7"/>
    <n v="4.7619047620000003"/>
    <n v="23.385000000000002"/>
    <n v="8"/>
  </r>
  <r>
    <s v="744-02-5987"/>
    <x v="1"/>
    <x v="1"/>
    <x v="1"/>
    <x v="0"/>
    <x v="3"/>
    <n v="78.38"/>
    <n v="6"/>
    <n v="23.513999999999999"/>
    <x v="758"/>
    <x v="56"/>
    <x v="345"/>
    <x v="1"/>
    <n v="470.28"/>
    <n v="4.7619047620000003"/>
    <n v="23.513999999999999"/>
    <n v="5.8"/>
  </r>
  <r>
    <s v="871-79-8483"/>
    <x v="2"/>
    <x v="1"/>
    <x v="1"/>
    <x v="0"/>
    <x v="2"/>
    <n v="94.13"/>
    <n v="5"/>
    <n v="23.532499999999999"/>
    <x v="759"/>
    <x v="42"/>
    <x v="217"/>
    <x v="2"/>
    <n v="470.65"/>
    <n v="4.7619047620000003"/>
    <n v="23.532499999999999"/>
    <n v="4.8"/>
  </r>
  <r>
    <s v="704-11-6354"/>
    <x v="1"/>
    <x v="1"/>
    <x v="0"/>
    <x v="0"/>
    <x v="3"/>
    <n v="58.9"/>
    <n v="8"/>
    <n v="23.56"/>
    <x v="760"/>
    <x v="5"/>
    <x v="442"/>
    <x v="0"/>
    <n v="471.2"/>
    <n v="4.7619047620000003"/>
    <n v="23.56"/>
    <n v="8.9"/>
  </r>
  <r>
    <s v="474-33-8305"/>
    <x v="0"/>
    <x v="1"/>
    <x v="0"/>
    <x v="0"/>
    <x v="1"/>
    <n v="67.39"/>
    <n v="7"/>
    <n v="23.586500000000001"/>
    <x v="761"/>
    <x v="19"/>
    <x v="395"/>
    <x v="0"/>
    <n v="471.73"/>
    <n v="4.7619047620000003"/>
    <n v="23.586500000000001"/>
    <n v="6.9"/>
  </r>
  <r>
    <s v="372-62-5264"/>
    <x v="0"/>
    <x v="0"/>
    <x v="1"/>
    <x v="1"/>
    <x v="2"/>
    <n v="52.6"/>
    <n v="9"/>
    <n v="23.67"/>
    <x v="762"/>
    <x v="30"/>
    <x v="28"/>
    <x v="0"/>
    <n v="473.4"/>
    <n v="4.7619047620000003"/>
    <n v="23.67"/>
    <n v="7.6"/>
  </r>
  <r>
    <s v="536-18-7315"/>
    <x v="0"/>
    <x v="0"/>
    <x v="1"/>
    <x v="1"/>
    <x v="2"/>
    <n v="52.6"/>
    <n v="9"/>
    <n v="23.67"/>
    <x v="762"/>
    <x v="30"/>
    <x v="28"/>
    <x v="0"/>
    <n v="473.4"/>
    <n v="4.7619047620000003"/>
    <n v="23.67"/>
    <n v="7.6"/>
  </r>
  <r>
    <s v="265-10-2215"/>
    <x v="0"/>
    <x v="0"/>
    <x v="1"/>
    <x v="1"/>
    <x v="2"/>
    <n v="52.6"/>
    <n v="9"/>
    <n v="23.67"/>
    <x v="762"/>
    <x v="30"/>
    <x v="28"/>
    <x v="0"/>
    <n v="473.4"/>
    <n v="4.7619047620000003"/>
    <n v="23.67"/>
    <n v="7.6"/>
  </r>
  <r>
    <s v="201-63-8275"/>
    <x v="0"/>
    <x v="1"/>
    <x v="0"/>
    <x v="1"/>
    <x v="0"/>
    <n v="67.989999999999995"/>
    <n v="7"/>
    <n v="23.796500000000002"/>
    <x v="763"/>
    <x v="58"/>
    <x v="443"/>
    <x v="1"/>
    <n v="475.93"/>
    <n v="4.7619047620000003"/>
    <n v="23.796500000000002"/>
    <n v="5.7"/>
  </r>
  <r>
    <s v="982-50-1245"/>
    <x v="1"/>
    <x v="1"/>
    <x v="0"/>
    <x v="0"/>
    <x v="2"/>
    <n v="67.989999999999995"/>
    <n v="7"/>
    <n v="23.796500000000002"/>
    <x v="763"/>
    <x v="58"/>
    <x v="443"/>
    <x v="1"/>
    <n v="475.93"/>
    <n v="4.7619047620000003"/>
    <n v="23.796500000000002"/>
    <n v="5.7"/>
  </r>
  <r>
    <s v="532-59-7201"/>
    <x v="2"/>
    <x v="1"/>
    <x v="1"/>
    <x v="0"/>
    <x v="0"/>
    <n v="79.930000000000007"/>
    <n v="6"/>
    <n v="23.978999999999999"/>
    <x v="764"/>
    <x v="63"/>
    <x v="167"/>
    <x v="0"/>
    <n v="479.58"/>
    <n v="4.7619047620000003"/>
    <n v="23.978999999999999"/>
    <n v="5.5"/>
  </r>
  <r>
    <s v="160-22-2687"/>
    <x v="1"/>
    <x v="1"/>
    <x v="0"/>
    <x v="1"/>
    <x v="4"/>
    <n v="95.95"/>
    <n v="5"/>
    <n v="23.987500000000001"/>
    <x v="765"/>
    <x v="27"/>
    <x v="303"/>
    <x v="0"/>
    <n v="479.75"/>
    <n v="4.7619047620000003"/>
    <n v="23.987500000000001"/>
    <n v="8.8000000000000007"/>
  </r>
  <r>
    <s v="656-95-9349"/>
    <x v="1"/>
    <x v="2"/>
    <x v="0"/>
    <x v="1"/>
    <x v="4"/>
    <n v="68.930000000000007"/>
    <n v="7"/>
    <n v="24.125499999999999"/>
    <x v="766"/>
    <x v="79"/>
    <x v="444"/>
    <x v="2"/>
    <n v="482.51"/>
    <n v="4.7619047620000003"/>
    <n v="24.125499999999999"/>
    <n v="4.5999999999999996"/>
  </r>
  <r>
    <s v="237-33-1289"/>
    <x v="1"/>
    <x v="0"/>
    <x v="0"/>
    <x v="1"/>
    <x v="4"/>
    <n v="68.930000000000007"/>
    <n v="7"/>
    <n v="24.125499999999999"/>
    <x v="766"/>
    <x v="79"/>
    <x v="444"/>
    <x v="2"/>
    <n v="482.51"/>
    <n v="4.7619047620000003"/>
    <n v="24.125499999999999"/>
    <n v="2"/>
  </r>
  <r>
    <s v="267-32-6808"/>
    <x v="0"/>
    <x v="0"/>
    <x v="1"/>
    <x v="1"/>
    <x v="1"/>
    <n v="60.41"/>
    <n v="8"/>
    <n v="24.164000000000001"/>
    <x v="767"/>
    <x v="0"/>
    <x v="117"/>
    <x v="1"/>
    <n v="483.28"/>
    <n v="4.7619047620000003"/>
    <n v="24.164000000000001"/>
    <n v="9.6"/>
  </r>
  <r>
    <s v="626-43-7888"/>
    <x v="0"/>
    <x v="0"/>
    <x v="1"/>
    <x v="1"/>
    <x v="1"/>
    <n v="60.41"/>
    <n v="8"/>
    <n v="24.164000000000001"/>
    <x v="767"/>
    <x v="0"/>
    <x v="117"/>
    <x v="1"/>
    <n v="483.28"/>
    <n v="4.7619047620000003"/>
    <n v="24.164000000000001"/>
    <n v="9.6"/>
  </r>
  <r>
    <s v="259-37-1193"/>
    <x v="0"/>
    <x v="0"/>
    <x v="1"/>
    <x v="1"/>
    <x v="1"/>
    <n v="60.41"/>
    <n v="8"/>
    <n v="24.164000000000001"/>
    <x v="767"/>
    <x v="0"/>
    <x v="117"/>
    <x v="1"/>
    <n v="483.28"/>
    <n v="4.7619047620000003"/>
    <n v="24.164000000000001"/>
    <n v="2"/>
  </r>
  <r>
    <s v="667-23-5919"/>
    <x v="1"/>
    <x v="1"/>
    <x v="0"/>
    <x v="1"/>
    <x v="1"/>
    <n v="96.7"/>
    <n v="5"/>
    <n v="24.175000000000001"/>
    <x v="768"/>
    <x v="9"/>
    <x v="396"/>
    <x v="1"/>
    <n v="483.5"/>
    <n v="4.7619047620000003"/>
    <n v="24.175000000000001"/>
    <n v="7"/>
  </r>
  <r>
    <s v="746-31-6188"/>
    <x v="1"/>
    <x v="2"/>
    <x v="0"/>
    <x v="0"/>
    <x v="1"/>
    <n v="96.7"/>
    <n v="5"/>
    <n v="24.175000000000001"/>
    <x v="768"/>
    <x v="9"/>
    <x v="396"/>
    <x v="1"/>
    <n v="483.5"/>
    <n v="4.7619047620000003"/>
    <n v="24.175000000000001"/>
    <n v="7"/>
  </r>
  <r>
    <s v="378-13-9143"/>
    <x v="1"/>
    <x v="0"/>
    <x v="0"/>
    <x v="1"/>
    <x v="1"/>
    <n v="96.7"/>
    <n v="5"/>
    <n v="24.175000000000001"/>
    <x v="768"/>
    <x v="9"/>
    <x v="396"/>
    <x v="1"/>
    <n v="483.5"/>
    <n v="4.7619047620000003"/>
    <n v="24.175000000000001"/>
    <n v="13.5"/>
  </r>
  <r>
    <s v="661-44-4872"/>
    <x v="1"/>
    <x v="2"/>
    <x v="0"/>
    <x v="0"/>
    <x v="2"/>
    <n v="80.62"/>
    <n v="6"/>
    <n v="24.186"/>
    <x v="769"/>
    <x v="60"/>
    <x v="339"/>
    <x v="0"/>
    <n v="483.72"/>
    <n v="4.7619047620000003"/>
    <n v="24.186"/>
    <n v="9.1"/>
  </r>
  <r>
    <s v="786-94-2700"/>
    <x v="0"/>
    <x v="2"/>
    <x v="0"/>
    <x v="0"/>
    <x v="2"/>
    <n v="80.62"/>
    <n v="6"/>
    <n v="24.186"/>
    <x v="769"/>
    <x v="60"/>
    <x v="339"/>
    <x v="0"/>
    <n v="483.72"/>
    <n v="4.7619047620000003"/>
    <n v="24.186"/>
    <n v="9.1"/>
  </r>
  <r>
    <s v="270-69-4787"/>
    <x v="1"/>
    <x v="0"/>
    <x v="0"/>
    <x v="0"/>
    <x v="2"/>
    <n v="80.62"/>
    <n v="6"/>
    <n v="24.186"/>
    <x v="769"/>
    <x v="60"/>
    <x v="339"/>
    <x v="0"/>
    <n v="483.72"/>
    <n v="4.7619047620000003"/>
    <n v="24.186"/>
    <n v="13.6"/>
  </r>
  <r>
    <s v="416-13-5917"/>
    <x v="0"/>
    <x v="1"/>
    <x v="1"/>
    <x v="1"/>
    <x v="2"/>
    <n v="97.03"/>
    <n v="5"/>
    <n v="24.2575"/>
    <x v="770"/>
    <x v="15"/>
    <x v="251"/>
    <x v="0"/>
    <n v="485.15"/>
    <n v="4.7619047620000003"/>
    <n v="24.2575"/>
    <n v="9.3000000000000007"/>
  </r>
  <r>
    <s v="854-42-4707"/>
    <x v="0"/>
    <x v="0"/>
    <x v="1"/>
    <x v="1"/>
    <x v="2"/>
    <n v="97.03"/>
    <n v="5"/>
    <n v="24.2575"/>
    <x v="770"/>
    <x v="15"/>
    <x v="251"/>
    <x v="1"/>
    <n v="485.15"/>
    <n v="4.7619047620000003"/>
    <n v="24.2575"/>
    <n v="9.3000000000000007"/>
  </r>
  <r>
    <s v="690-77-4429"/>
    <x v="0"/>
    <x v="1"/>
    <x v="1"/>
    <x v="0"/>
    <x v="2"/>
    <n v="97.03"/>
    <n v="5"/>
    <n v="24.2575"/>
    <x v="770"/>
    <x v="15"/>
    <x v="251"/>
    <x v="0"/>
    <n v="485.15"/>
    <n v="4.7619047620000003"/>
    <n v="24.2575"/>
    <n v="9.3000000000000007"/>
  </r>
  <r>
    <s v="689-05-1884"/>
    <x v="0"/>
    <x v="2"/>
    <x v="0"/>
    <x v="0"/>
    <x v="4"/>
    <n v="48.63"/>
    <n v="10"/>
    <n v="24.315000000000001"/>
    <x v="771"/>
    <x v="26"/>
    <x v="445"/>
    <x v="0"/>
    <n v="486.3"/>
    <n v="4.7619047620000003"/>
    <n v="24.315000000000001"/>
    <n v="8.8000000000000007"/>
  </r>
  <r>
    <s v="197-15-7923"/>
    <x v="0"/>
    <x v="0"/>
    <x v="0"/>
    <x v="0"/>
    <x v="1"/>
    <n v="54.07"/>
    <n v="9"/>
    <n v="24.331499999999998"/>
    <x v="772"/>
    <x v="17"/>
    <x v="214"/>
    <x v="1"/>
    <n v="486.63"/>
    <n v="4.7619047620000003"/>
    <n v="24.331499999999998"/>
    <n v="9.5"/>
  </r>
  <r>
    <s v="394-41-0748"/>
    <x v="0"/>
    <x v="1"/>
    <x v="0"/>
    <x v="1"/>
    <x v="1"/>
    <n v="54.07"/>
    <n v="9"/>
    <n v="24.331499999999998"/>
    <x v="772"/>
    <x v="17"/>
    <x v="214"/>
    <x v="0"/>
    <n v="486.63"/>
    <n v="4.7619047620000003"/>
    <n v="24.331499999999998"/>
    <n v="9.5"/>
  </r>
  <r>
    <s v="810-48-7807"/>
    <x v="0"/>
    <x v="1"/>
    <x v="0"/>
    <x v="0"/>
    <x v="1"/>
    <n v="54.07"/>
    <n v="9"/>
    <n v="24.331499999999998"/>
    <x v="772"/>
    <x v="17"/>
    <x v="214"/>
    <x v="0"/>
    <n v="486.63"/>
    <n v="4.7619047620000003"/>
    <n v="24.331499999999998"/>
    <n v="9.5"/>
  </r>
  <r>
    <s v="105-31-1824"/>
    <x v="1"/>
    <x v="2"/>
    <x v="0"/>
    <x v="0"/>
    <x v="0"/>
    <n v="69.52"/>
    <n v="7"/>
    <n v="24.332000000000001"/>
    <x v="773"/>
    <x v="71"/>
    <x v="35"/>
    <x v="2"/>
    <n v="486.64"/>
    <n v="4.7619047620000003"/>
    <n v="24.332000000000001"/>
    <n v="8.5"/>
  </r>
  <r>
    <s v="483-71-1164"/>
    <x v="0"/>
    <x v="0"/>
    <x v="1"/>
    <x v="0"/>
    <x v="4"/>
    <n v="81.3"/>
    <n v="6"/>
    <n v="24.39"/>
    <x v="774"/>
    <x v="66"/>
    <x v="204"/>
    <x v="1"/>
    <n v="487.8"/>
    <n v="4.7619047620000003"/>
    <n v="24.39"/>
    <n v="5.3"/>
  </r>
  <r>
    <s v="582-52-8065"/>
    <x v="0"/>
    <x v="1"/>
    <x v="1"/>
    <x v="1"/>
    <x v="1"/>
    <n v="54.31"/>
    <n v="9"/>
    <n v="24.439499999999999"/>
    <x v="775"/>
    <x v="21"/>
    <x v="446"/>
    <x v="0"/>
    <n v="488.79"/>
    <n v="4.7619047620000003"/>
    <n v="24.439499999999999"/>
    <n v="8.9"/>
  </r>
  <r>
    <s v="677-87-8644"/>
    <x v="2"/>
    <x v="1"/>
    <x v="1"/>
    <x v="0"/>
    <x v="1"/>
    <n v="54.31"/>
    <n v="9"/>
    <n v="24.439499999999999"/>
    <x v="775"/>
    <x v="21"/>
    <x v="446"/>
    <x v="0"/>
    <n v="488.79"/>
    <n v="4.7619047620000003"/>
    <n v="24.439499999999999"/>
    <n v="8.9"/>
  </r>
  <r>
    <s v="488-75-4618"/>
    <x v="2"/>
    <x v="1"/>
    <x v="1"/>
    <x v="0"/>
    <x v="1"/>
    <n v="54.31"/>
    <n v="9"/>
    <n v="24.439499999999999"/>
    <x v="775"/>
    <x v="21"/>
    <x v="446"/>
    <x v="0"/>
    <n v="488.79"/>
    <n v="4.7619047620000003"/>
    <n v="24.439499999999999"/>
    <n v="13.7"/>
  </r>
  <r>
    <s v="624-01-8356"/>
    <x v="2"/>
    <x v="1"/>
    <x v="1"/>
    <x v="1"/>
    <x v="3"/>
    <n v="49.01"/>
    <n v="10"/>
    <n v="24.504999999999999"/>
    <x v="776"/>
    <x v="17"/>
    <x v="447"/>
    <x v="0"/>
    <n v="490.1"/>
    <n v="4.7619047620000003"/>
    <n v="24.504999999999999"/>
    <n v="4.2"/>
  </r>
  <r>
    <s v="637-18-4786"/>
    <x v="2"/>
    <x v="0"/>
    <x v="1"/>
    <x v="1"/>
    <x v="3"/>
    <n v="49.01"/>
    <n v="10"/>
    <n v="24.504999999999999"/>
    <x v="776"/>
    <x v="17"/>
    <x v="447"/>
    <x v="0"/>
    <n v="490.1"/>
    <n v="4.7619047620000003"/>
    <n v="24.504999999999999"/>
    <n v="13.8"/>
  </r>
  <r>
    <s v="418-88-7755"/>
    <x v="1"/>
    <x v="2"/>
    <x v="1"/>
    <x v="0"/>
    <x v="2"/>
    <n v="81.709999999999994"/>
    <n v="6"/>
    <n v="24.513000000000002"/>
    <x v="777"/>
    <x v="17"/>
    <x v="424"/>
    <x v="0"/>
    <n v="490.26"/>
    <n v="4.7619047620000003"/>
    <n v="24.513000000000002"/>
    <n v="8"/>
  </r>
  <r>
    <s v="534-01-4457"/>
    <x v="0"/>
    <x v="2"/>
    <x v="1"/>
    <x v="0"/>
    <x v="2"/>
    <n v="81.709999999999994"/>
    <n v="6"/>
    <n v="24.513000000000002"/>
    <x v="777"/>
    <x v="17"/>
    <x v="424"/>
    <x v="0"/>
    <n v="490.26"/>
    <n v="4.7619047620000003"/>
    <n v="24.513000000000002"/>
    <n v="8"/>
  </r>
  <r>
    <s v="965-15-6803"/>
    <x v="0"/>
    <x v="2"/>
    <x v="1"/>
    <x v="0"/>
    <x v="2"/>
    <n v="81.709999999999994"/>
    <n v="6"/>
    <n v="24.513000000000002"/>
    <x v="777"/>
    <x v="17"/>
    <x v="424"/>
    <x v="0"/>
    <n v="490.26"/>
    <n v="4.7619047620000003"/>
    <n v="24.513000000000002"/>
    <n v="8"/>
  </r>
  <r>
    <s v="176-32-9872"/>
    <x v="0"/>
    <x v="0"/>
    <x v="1"/>
    <x v="0"/>
    <x v="0"/>
    <n v="49.33"/>
    <n v="10"/>
    <n v="24.664999999999999"/>
    <x v="778"/>
    <x v="52"/>
    <x v="265"/>
    <x v="2"/>
    <n v="493.3"/>
    <n v="4.7619047620000003"/>
    <n v="24.664999999999999"/>
    <n v="9.4"/>
  </r>
  <r>
    <s v="718-57-9773"/>
    <x v="0"/>
    <x v="0"/>
    <x v="1"/>
    <x v="1"/>
    <x v="0"/>
    <n v="49.33"/>
    <n v="10"/>
    <n v="24.664999999999999"/>
    <x v="778"/>
    <x v="52"/>
    <x v="265"/>
    <x v="2"/>
    <n v="493.3"/>
    <n v="4.7619047620000003"/>
    <n v="24.664999999999999"/>
    <n v="9.4"/>
  </r>
  <r>
    <s v="347-34-2234"/>
    <x v="2"/>
    <x v="1"/>
    <x v="0"/>
    <x v="0"/>
    <x v="0"/>
    <n v="55.07"/>
    <n v="9"/>
    <n v="24.781500000000001"/>
    <x v="779"/>
    <x v="52"/>
    <x v="257"/>
    <x v="0"/>
    <n v="495.63"/>
    <n v="4.7619047620000003"/>
    <n v="24.781500000000001"/>
    <n v="10"/>
  </r>
  <r>
    <s v="422-98-1333"/>
    <x v="2"/>
    <x v="1"/>
    <x v="0"/>
    <x v="0"/>
    <x v="2"/>
    <n v="55.07"/>
    <n v="9"/>
    <n v="24.781500000000001"/>
    <x v="779"/>
    <x v="52"/>
    <x v="257"/>
    <x v="0"/>
    <n v="495.63"/>
    <n v="4.7619047620000003"/>
    <n v="24.781500000000001"/>
    <n v="10"/>
  </r>
  <r>
    <s v="552-44-5977"/>
    <x v="2"/>
    <x v="1"/>
    <x v="0"/>
    <x v="0"/>
    <x v="4"/>
    <n v="62"/>
    <n v="8"/>
    <n v="24.8"/>
    <x v="780"/>
    <x v="43"/>
    <x v="448"/>
    <x v="0"/>
    <n v="496"/>
    <n v="4.7619047620000003"/>
    <n v="24.8"/>
    <n v="6.2"/>
  </r>
  <r>
    <s v="733-01-9107"/>
    <x v="2"/>
    <x v="1"/>
    <x v="1"/>
    <x v="0"/>
    <x v="3"/>
    <n v="82.7"/>
    <n v="6"/>
    <n v="24.81"/>
    <x v="781"/>
    <x v="53"/>
    <x v="106"/>
    <x v="0"/>
    <n v="496.2"/>
    <n v="4.7619047620000003"/>
    <n v="24.81"/>
    <n v="7.4"/>
  </r>
  <r>
    <s v="655-50-7195"/>
    <x v="2"/>
    <x v="1"/>
    <x v="1"/>
    <x v="1"/>
    <x v="2"/>
    <n v="99.69"/>
    <n v="5"/>
    <n v="24.922499999999999"/>
    <x v="782"/>
    <x v="9"/>
    <x v="449"/>
    <x v="0"/>
    <n v="498.45"/>
    <n v="4.7619047620000003"/>
    <n v="24.922499999999999"/>
    <n v="9.9"/>
  </r>
  <r>
    <s v="868-52-7573"/>
    <x v="0"/>
    <x v="1"/>
    <x v="1"/>
    <x v="1"/>
    <x v="2"/>
    <n v="99.69"/>
    <n v="5"/>
    <n v="24.922499999999999"/>
    <x v="782"/>
    <x v="9"/>
    <x v="449"/>
    <x v="0"/>
    <n v="498.45"/>
    <n v="4.7619047620000003"/>
    <n v="24.922499999999999"/>
    <n v="9.9"/>
  </r>
  <r>
    <s v="394-84-4136"/>
    <x v="2"/>
    <x v="0"/>
    <x v="1"/>
    <x v="1"/>
    <x v="2"/>
    <n v="99.69"/>
    <n v="5"/>
    <n v="24.922499999999999"/>
    <x v="782"/>
    <x v="9"/>
    <x v="449"/>
    <x v="0"/>
    <n v="498.45"/>
    <n v="4.7619047620000003"/>
    <n v="24.922499999999999"/>
    <n v="13.9"/>
  </r>
  <r>
    <s v="448-79-2924"/>
    <x v="1"/>
    <x v="2"/>
    <x v="0"/>
    <x v="0"/>
    <x v="2"/>
    <n v="99.78"/>
    <n v="5"/>
    <n v="24.945"/>
    <x v="783"/>
    <x v="8"/>
    <x v="116"/>
    <x v="0"/>
    <n v="498.9"/>
    <n v="4.7619047620000003"/>
    <n v="24.945"/>
    <n v="5.4"/>
  </r>
  <r>
    <s v="815-11-1168"/>
    <x v="1"/>
    <x v="1"/>
    <x v="1"/>
    <x v="0"/>
    <x v="2"/>
    <n v="99.78"/>
    <n v="5"/>
    <n v="24.945"/>
    <x v="783"/>
    <x v="8"/>
    <x v="116"/>
    <x v="0"/>
    <n v="498.9"/>
    <n v="4.7619047620000003"/>
    <n v="24.945"/>
    <n v="5.4"/>
  </r>
  <r>
    <s v="130-33-8255"/>
    <x v="0"/>
    <x v="2"/>
    <x v="1"/>
    <x v="0"/>
    <x v="2"/>
    <n v="99.78"/>
    <n v="5"/>
    <n v="24.945"/>
    <x v="783"/>
    <x v="8"/>
    <x v="116"/>
    <x v="0"/>
    <n v="498.9"/>
    <n v="4.7619047620000003"/>
    <n v="24.945"/>
    <n v="5.4"/>
  </r>
  <r>
    <s v="376-78-5942"/>
    <x v="0"/>
    <x v="1"/>
    <x v="1"/>
    <x v="0"/>
    <x v="2"/>
    <n v="99.78"/>
    <n v="5"/>
    <n v="24.945"/>
    <x v="783"/>
    <x v="8"/>
    <x v="116"/>
    <x v="0"/>
    <n v="498.9"/>
    <n v="4.7619047620000003"/>
    <n v="24.945"/>
    <n v="5.4"/>
  </r>
  <r>
    <s v="451-28-5717"/>
    <x v="0"/>
    <x v="0"/>
    <x v="0"/>
    <x v="1"/>
    <x v="3"/>
    <n v="83.17"/>
    <n v="6"/>
    <n v="24.951000000000001"/>
    <x v="784"/>
    <x v="34"/>
    <x v="442"/>
    <x v="0"/>
    <n v="499.02"/>
    <n v="4.7619047620000003"/>
    <n v="24.951000000000001"/>
    <n v="7.3"/>
  </r>
  <r>
    <s v="174-20-6423"/>
    <x v="0"/>
    <x v="1"/>
    <x v="1"/>
    <x v="1"/>
    <x v="2"/>
    <n v="83.17"/>
    <n v="6"/>
    <n v="24.951000000000001"/>
    <x v="784"/>
    <x v="34"/>
    <x v="442"/>
    <x v="0"/>
    <n v="499.02"/>
    <n v="4.7619047620000003"/>
    <n v="24.951000000000001"/>
    <n v="7.3"/>
  </r>
  <r>
    <s v="944-58-6512"/>
    <x v="0"/>
    <x v="1"/>
    <x v="1"/>
    <x v="0"/>
    <x v="2"/>
    <n v="83.17"/>
    <n v="6"/>
    <n v="24.951000000000001"/>
    <x v="784"/>
    <x v="34"/>
    <x v="442"/>
    <x v="0"/>
    <n v="499.02"/>
    <n v="4.7619047620000003"/>
    <n v="24.951000000000001"/>
    <n v="7.3"/>
  </r>
  <r>
    <s v="401-66-8874"/>
    <x v="1"/>
    <x v="2"/>
    <x v="1"/>
    <x v="0"/>
    <x v="1"/>
    <n v="71.459999999999994"/>
    <n v="7"/>
    <n v="25.010999999999999"/>
    <x v="785"/>
    <x v="70"/>
    <x v="411"/>
    <x v="0"/>
    <n v="500.22"/>
    <n v="4.7619047620000003"/>
    <n v="25.010999999999999"/>
    <n v="4.5"/>
  </r>
  <r>
    <s v="857-16-3520"/>
    <x v="0"/>
    <x v="2"/>
    <x v="0"/>
    <x v="1"/>
    <x v="2"/>
    <n v="71.459999999999994"/>
    <n v="7"/>
    <n v="25.010999999999999"/>
    <x v="785"/>
    <x v="70"/>
    <x v="411"/>
    <x v="1"/>
    <n v="500.22"/>
    <n v="4.7619047620000003"/>
    <n v="25.010999999999999"/>
    <n v="4.5"/>
  </r>
  <r>
    <s v="331-46-1484"/>
    <x v="0"/>
    <x v="2"/>
    <x v="1"/>
    <x v="0"/>
    <x v="1"/>
    <n v="71.459999999999994"/>
    <n v="7"/>
    <n v="25.010999999999999"/>
    <x v="785"/>
    <x v="70"/>
    <x v="411"/>
    <x v="0"/>
    <n v="500.22"/>
    <n v="4.7619047620000003"/>
    <n v="25.010999999999999"/>
    <n v="4.5"/>
  </r>
  <r>
    <s v="186-79-9562"/>
    <x v="0"/>
    <x v="1"/>
    <x v="1"/>
    <x v="0"/>
    <x v="4"/>
    <n v="71.77"/>
    <n v="7"/>
    <n v="25.119499999999999"/>
    <x v="786"/>
    <x v="86"/>
    <x v="450"/>
    <x v="0"/>
    <n v="502.39"/>
    <n v="4.7619047620000003"/>
    <n v="25.119499999999999"/>
    <n v="8.9"/>
  </r>
  <r>
    <s v="767-05-1286"/>
    <x v="0"/>
    <x v="0"/>
    <x v="0"/>
    <x v="1"/>
    <x v="3"/>
    <n v="83.77"/>
    <n v="6"/>
    <n v="25.131"/>
    <x v="787"/>
    <x v="27"/>
    <x v="23"/>
    <x v="1"/>
    <n v="502.62"/>
    <n v="4.7619047620000003"/>
    <n v="25.131"/>
    <n v="5.4"/>
  </r>
  <r>
    <s v="617-61-9038"/>
    <x v="2"/>
    <x v="1"/>
    <x v="1"/>
    <x v="1"/>
    <x v="2"/>
    <n v="84.05"/>
    <n v="6"/>
    <n v="25.215"/>
    <x v="788"/>
    <x v="38"/>
    <x v="451"/>
    <x v="2"/>
    <n v="504.3"/>
    <n v="4.7619047620000003"/>
    <n v="25.215"/>
    <n v="7.7"/>
  </r>
  <r>
    <s v="862-17-9201"/>
    <x v="0"/>
    <x v="1"/>
    <x v="1"/>
    <x v="1"/>
    <x v="2"/>
    <n v="84.05"/>
    <n v="6"/>
    <n v="25.215"/>
    <x v="788"/>
    <x v="38"/>
    <x v="451"/>
    <x v="0"/>
    <n v="504.3"/>
    <n v="4.7619047620000003"/>
    <n v="25.215"/>
    <n v="7.7"/>
  </r>
  <r>
    <s v="769-55-3206"/>
    <x v="2"/>
    <x v="1"/>
    <x v="1"/>
    <x v="1"/>
    <x v="2"/>
    <n v="84.05"/>
    <n v="6"/>
    <n v="25.215"/>
    <x v="788"/>
    <x v="38"/>
    <x v="451"/>
    <x v="2"/>
    <n v="504.3"/>
    <n v="4.7619047620000003"/>
    <n v="25.215"/>
    <n v="14"/>
  </r>
  <r>
    <s v="411-77-0180"/>
    <x v="1"/>
    <x v="1"/>
    <x v="1"/>
    <x v="0"/>
    <x v="5"/>
    <n v="72.2"/>
    <n v="7"/>
    <n v="25.27"/>
    <x v="789"/>
    <x v="39"/>
    <x v="107"/>
    <x v="0"/>
    <n v="505.4"/>
    <n v="4.7619047620000003"/>
    <n v="25.27"/>
    <n v="4.3"/>
  </r>
  <r>
    <s v="561-38-4926"/>
    <x v="1"/>
    <x v="2"/>
    <x v="0"/>
    <x v="0"/>
    <x v="5"/>
    <n v="72.2"/>
    <n v="7"/>
    <n v="25.27"/>
    <x v="789"/>
    <x v="39"/>
    <x v="107"/>
    <x v="1"/>
    <n v="505.4"/>
    <n v="4.7619047620000003"/>
    <n v="25.27"/>
    <n v="4.3"/>
  </r>
  <r>
    <s v="601-14-9542"/>
    <x v="0"/>
    <x v="1"/>
    <x v="1"/>
    <x v="0"/>
    <x v="5"/>
    <n v="72.2"/>
    <n v="7"/>
    <n v="25.27"/>
    <x v="789"/>
    <x v="39"/>
    <x v="107"/>
    <x v="0"/>
    <n v="505.4"/>
    <n v="4.7619047620000003"/>
    <n v="25.27"/>
    <n v="4.3"/>
  </r>
  <r>
    <s v="721-86-6247"/>
    <x v="1"/>
    <x v="2"/>
    <x v="1"/>
    <x v="0"/>
    <x v="3"/>
    <n v="63.42"/>
    <n v="8"/>
    <n v="25.367999999999999"/>
    <x v="790"/>
    <x v="79"/>
    <x v="346"/>
    <x v="1"/>
    <n v="507.36"/>
    <n v="4.7619047620000003"/>
    <n v="25.367999999999999"/>
    <n v="7.4"/>
  </r>
  <r>
    <s v="227-78-1148"/>
    <x v="2"/>
    <x v="1"/>
    <x v="1"/>
    <x v="0"/>
    <x v="1"/>
    <n v="72.84"/>
    <n v="7"/>
    <n v="25.494"/>
    <x v="791"/>
    <x v="74"/>
    <x v="445"/>
    <x v="0"/>
    <n v="509.88"/>
    <n v="4.7619047620000003"/>
    <n v="25.494"/>
    <n v="8.4"/>
  </r>
  <r>
    <s v="370-41-7321"/>
    <x v="2"/>
    <x v="1"/>
    <x v="0"/>
    <x v="0"/>
    <x v="4"/>
    <n v="56.69"/>
    <n v="9"/>
    <n v="25.5105"/>
    <x v="792"/>
    <x v="46"/>
    <x v="103"/>
    <x v="0"/>
    <n v="510.21"/>
    <n v="4.7619047620000003"/>
    <n v="25.5105"/>
    <n v="8.4"/>
  </r>
  <r>
    <s v="287-44-2643"/>
    <x v="0"/>
    <x v="1"/>
    <x v="0"/>
    <x v="0"/>
    <x v="2"/>
    <n v="56.69"/>
    <n v="9"/>
    <n v="25.5105"/>
    <x v="792"/>
    <x v="46"/>
    <x v="103"/>
    <x v="0"/>
    <n v="510.21"/>
    <n v="4.7619047620000003"/>
    <n v="25.5105"/>
    <n v="8.4"/>
  </r>
  <r>
    <s v="410-67-1709"/>
    <x v="1"/>
    <x v="1"/>
    <x v="0"/>
    <x v="1"/>
    <x v="1"/>
    <n v="63.88"/>
    <n v="8"/>
    <n v="25.552"/>
    <x v="793"/>
    <x v="84"/>
    <x v="452"/>
    <x v="0"/>
    <n v="511.04"/>
    <n v="4.7619047620000003"/>
    <n v="25.552"/>
    <n v="9.9"/>
  </r>
  <r>
    <s v="861-97-7222"/>
    <x v="0"/>
    <x v="1"/>
    <x v="0"/>
    <x v="0"/>
    <x v="1"/>
    <n v="63.88"/>
    <n v="8"/>
    <n v="25.552"/>
    <x v="793"/>
    <x v="84"/>
    <x v="452"/>
    <x v="0"/>
    <n v="511.04"/>
    <n v="4.7619047620000003"/>
    <n v="25.552"/>
    <n v="9.9"/>
  </r>
  <r>
    <s v="336-78-2147"/>
    <x v="0"/>
    <x v="0"/>
    <x v="0"/>
    <x v="0"/>
    <x v="3"/>
    <n v="63.91"/>
    <n v="8"/>
    <n v="25.564"/>
    <x v="794"/>
    <x v="57"/>
    <x v="453"/>
    <x v="0"/>
    <n v="511.28"/>
    <n v="4.7619047620000003"/>
    <n v="25.564"/>
    <n v="4.5999999999999996"/>
  </r>
  <r>
    <s v="306-44-1096"/>
    <x v="0"/>
    <x v="0"/>
    <x v="0"/>
    <x v="0"/>
    <x v="2"/>
    <n v="63.91"/>
    <n v="8"/>
    <n v="25.564"/>
    <x v="794"/>
    <x v="57"/>
    <x v="453"/>
    <x v="0"/>
    <n v="511.28"/>
    <n v="4.7619047620000003"/>
    <n v="25.564"/>
    <n v="4.5999999999999996"/>
  </r>
  <r>
    <s v="268-33-6771"/>
    <x v="2"/>
    <x v="1"/>
    <x v="1"/>
    <x v="0"/>
    <x v="2"/>
    <n v="73.06"/>
    <n v="7"/>
    <n v="25.571000000000002"/>
    <x v="795"/>
    <x v="9"/>
    <x v="374"/>
    <x v="2"/>
    <n v="511.42"/>
    <n v="4.7619047620000003"/>
    <n v="25.571000000000002"/>
    <n v="4.2"/>
  </r>
  <r>
    <s v="785-13-7708"/>
    <x v="2"/>
    <x v="1"/>
    <x v="1"/>
    <x v="0"/>
    <x v="2"/>
    <n v="73.06"/>
    <n v="7"/>
    <n v="25.571000000000002"/>
    <x v="795"/>
    <x v="9"/>
    <x v="374"/>
    <x v="2"/>
    <n v="511.42"/>
    <n v="4.7619047620000003"/>
    <n v="25.571000000000002"/>
    <n v="4.2"/>
  </r>
  <r>
    <s v="196-01-2849"/>
    <x v="0"/>
    <x v="0"/>
    <x v="0"/>
    <x v="1"/>
    <x v="1"/>
    <n v="73.38"/>
    <n v="7"/>
    <n v="25.683"/>
    <x v="796"/>
    <x v="64"/>
    <x v="454"/>
    <x v="0"/>
    <n v="513.66"/>
    <n v="4.7619047620000003"/>
    <n v="25.683"/>
    <n v="9.5"/>
  </r>
  <r>
    <s v="826-55-4067"/>
    <x v="0"/>
    <x v="0"/>
    <x v="0"/>
    <x v="1"/>
    <x v="1"/>
    <n v="73.38"/>
    <n v="7"/>
    <n v="25.683"/>
    <x v="796"/>
    <x v="64"/>
    <x v="454"/>
    <x v="0"/>
    <n v="513.66"/>
    <n v="4.7619047620000003"/>
    <n v="25.683"/>
    <n v="9.5"/>
  </r>
  <r>
    <s v="309-40-4204"/>
    <x v="0"/>
    <x v="0"/>
    <x v="1"/>
    <x v="0"/>
    <x v="0"/>
    <n v="73.98"/>
    <n v="7"/>
    <n v="25.893000000000001"/>
    <x v="797"/>
    <x v="23"/>
    <x v="255"/>
    <x v="0"/>
    <n v="517.86"/>
    <n v="4.7619047620000003"/>
    <n v="25.893000000000001"/>
    <n v="4.0999999999999996"/>
  </r>
  <r>
    <s v="408-26-9866"/>
    <x v="0"/>
    <x v="0"/>
    <x v="1"/>
    <x v="1"/>
    <x v="0"/>
    <n v="73.98"/>
    <n v="7"/>
    <n v="25.893000000000001"/>
    <x v="797"/>
    <x v="23"/>
    <x v="255"/>
    <x v="0"/>
    <n v="517.86"/>
    <n v="4.7619047620000003"/>
    <n v="25.893000000000001"/>
    <n v="4.0999999999999996"/>
  </r>
  <r>
    <s v="236-60-8334"/>
    <x v="0"/>
    <x v="0"/>
    <x v="1"/>
    <x v="0"/>
    <x v="0"/>
    <n v="73.98"/>
    <n v="7"/>
    <n v="25.893000000000001"/>
    <x v="797"/>
    <x v="23"/>
    <x v="255"/>
    <x v="0"/>
    <n v="517.86"/>
    <n v="4.7619047620000003"/>
    <n v="25.893000000000001"/>
    <n v="4.0999999999999996"/>
  </r>
  <r>
    <s v="748-32-6969"/>
    <x v="0"/>
    <x v="0"/>
    <x v="1"/>
    <x v="0"/>
    <x v="0"/>
    <n v="73.98"/>
    <n v="7"/>
    <n v="25.893000000000001"/>
    <x v="797"/>
    <x v="23"/>
    <x v="255"/>
    <x v="0"/>
    <n v="517.86"/>
    <n v="4.7619047620000003"/>
    <n v="25.893000000000001"/>
    <n v="4.0999999999999996"/>
  </r>
  <r>
    <s v="241-72-9525"/>
    <x v="2"/>
    <x v="1"/>
    <x v="1"/>
    <x v="0"/>
    <x v="0"/>
    <n v="51.91"/>
    <n v="10"/>
    <n v="25.954999999999998"/>
    <x v="798"/>
    <x v="59"/>
    <x v="455"/>
    <x v="0"/>
    <n v="519.1"/>
    <n v="4.7619047620000003"/>
    <n v="25.954999999999998"/>
    <n v="8.1999999999999993"/>
  </r>
  <r>
    <s v="157-13-5295"/>
    <x v="1"/>
    <x v="2"/>
    <x v="0"/>
    <x v="0"/>
    <x v="4"/>
    <n v="51.94"/>
    <n v="10"/>
    <n v="25.97"/>
    <x v="799"/>
    <x v="8"/>
    <x v="301"/>
    <x v="1"/>
    <n v="519.4"/>
    <n v="4.7619047620000003"/>
    <n v="25.97"/>
    <n v="6.5"/>
  </r>
  <r>
    <s v="404-91-5964"/>
    <x v="1"/>
    <x v="1"/>
    <x v="1"/>
    <x v="0"/>
    <x v="5"/>
    <n v="74.58"/>
    <n v="7"/>
    <n v="26.103000000000002"/>
    <x v="800"/>
    <x v="4"/>
    <x v="456"/>
    <x v="0"/>
    <n v="522.05999999999995"/>
    <n v="4.7619047620000003"/>
    <n v="26.103000000000002"/>
    <n v="9"/>
  </r>
  <r>
    <s v="711-16-8269"/>
    <x v="1"/>
    <x v="2"/>
    <x v="1"/>
    <x v="0"/>
    <x v="5"/>
    <n v="74.58"/>
    <n v="7"/>
    <n v="26.103000000000002"/>
    <x v="800"/>
    <x v="4"/>
    <x v="456"/>
    <x v="2"/>
    <n v="522.05999999999995"/>
    <n v="4.7619047620000003"/>
    <n v="26.103000000000002"/>
    <n v="9"/>
  </r>
  <r>
    <s v="921-13-7573"/>
    <x v="0"/>
    <x v="1"/>
    <x v="1"/>
    <x v="0"/>
    <x v="5"/>
    <n v="74.58"/>
    <n v="7"/>
    <n v="26.103000000000002"/>
    <x v="800"/>
    <x v="4"/>
    <x v="456"/>
    <x v="0"/>
    <n v="522.05999999999995"/>
    <n v="4.7619047620000003"/>
    <n v="26.103000000000002"/>
    <n v="9"/>
  </r>
  <r>
    <s v="154-87-7367"/>
    <x v="0"/>
    <x v="1"/>
    <x v="1"/>
    <x v="0"/>
    <x v="3"/>
    <n v="65.260000000000005"/>
    <n v="8"/>
    <n v="26.103999999999999"/>
    <x v="801"/>
    <x v="54"/>
    <x v="167"/>
    <x v="0"/>
    <n v="522.08000000000004"/>
    <n v="4.7619047620000003"/>
    <n v="26.103999999999999"/>
    <n v="6.3"/>
  </r>
  <r>
    <s v="197-48-2543"/>
    <x v="1"/>
    <x v="2"/>
    <x v="0"/>
    <x v="0"/>
    <x v="0"/>
    <n v="52.26"/>
    <n v="10"/>
    <n v="26.13"/>
    <x v="802"/>
    <x v="8"/>
    <x v="206"/>
    <x v="2"/>
    <n v="522.6"/>
    <n v="4.7619047620000003"/>
    <n v="26.13"/>
    <n v="6.2"/>
  </r>
  <r>
    <s v="308-47-4913"/>
    <x v="0"/>
    <x v="2"/>
    <x v="0"/>
    <x v="1"/>
    <x v="0"/>
    <n v="52.26"/>
    <n v="10"/>
    <n v="26.13"/>
    <x v="802"/>
    <x v="8"/>
    <x v="206"/>
    <x v="0"/>
    <n v="522.6"/>
    <n v="4.7619047620000003"/>
    <n v="26.13"/>
    <n v="6.2"/>
  </r>
  <r>
    <s v="765-24-6741"/>
    <x v="0"/>
    <x v="2"/>
    <x v="0"/>
    <x v="1"/>
    <x v="0"/>
    <n v="52.26"/>
    <n v="10"/>
    <n v="26.13"/>
    <x v="802"/>
    <x v="8"/>
    <x v="206"/>
    <x v="0"/>
    <n v="522.6"/>
    <n v="4.7619047620000003"/>
    <n v="26.13"/>
    <n v="6.2"/>
  </r>
  <r>
    <s v="645-44-1170"/>
    <x v="1"/>
    <x v="2"/>
    <x v="0"/>
    <x v="0"/>
    <x v="3"/>
    <n v="58.07"/>
    <n v="9"/>
    <n v="26.131499999999999"/>
    <x v="803"/>
    <x v="35"/>
    <x v="25"/>
    <x v="1"/>
    <n v="522.63"/>
    <n v="4.7619047620000003"/>
    <n v="26.131499999999999"/>
    <n v="4.3"/>
  </r>
  <r>
    <s v="219-57-9379"/>
    <x v="1"/>
    <x v="0"/>
    <x v="0"/>
    <x v="0"/>
    <x v="3"/>
    <n v="58.07"/>
    <n v="9"/>
    <n v="26.131499999999999"/>
    <x v="803"/>
    <x v="35"/>
    <x v="25"/>
    <x v="1"/>
    <n v="522.63"/>
    <n v="4.7619047620000003"/>
    <n v="26.131499999999999"/>
    <n v="14.1"/>
  </r>
  <r>
    <s v="750-67-8428"/>
    <x v="1"/>
    <x v="2"/>
    <x v="1"/>
    <x v="0"/>
    <x v="4"/>
    <n v="74.69"/>
    <n v="7"/>
    <n v="26.141500000000001"/>
    <x v="804"/>
    <x v="32"/>
    <x v="68"/>
    <x v="1"/>
    <n v="522.83000000000004"/>
    <n v="4.7619047620000003"/>
    <n v="26.141500000000001"/>
    <n v="9.1"/>
  </r>
  <r>
    <s v="210-57-1719"/>
    <x v="0"/>
    <x v="1"/>
    <x v="1"/>
    <x v="1"/>
    <x v="4"/>
    <n v="58.24"/>
    <n v="9"/>
    <n v="26.207999999999998"/>
    <x v="805"/>
    <x v="28"/>
    <x v="457"/>
    <x v="0"/>
    <n v="524.16"/>
    <n v="4.7619047620000003"/>
    <n v="26.207999999999998"/>
    <n v="9.6999999999999993"/>
  </r>
  <r>
    <s v="508-53-8677"/>
    <x v="2"/>
    <x v="1"/>
    <x v="0"/>
    <x v="0"/>
    <x v="5"/>
    <n v="87.45"/>
    <n v="6"/>
    <n v="26.234999999999999"/>
    <x v="806"/>
    <x v="58"/>
    <x v="458"/>
    <x v="2"/>
    <n v="524.70000000000005"/>
    <n v="4.7619047620000003"/>
    <n v="26.234999999999999"/>
    <n v="8.8000000000000007"/>
  </r>
  <r>
    <s v="590-83-4591"/>
    <x v="2"/>
    <x v="1"/>
    <x v="0"/>
    <x v="0"/>
    <x v="5"/>
    <n v="87.45"/>
    <n v="6"/>
    <n v="26.234999999999999"/>
    <x v="806"/>
    <x v="58"/>
    <x v="458"/>
    <x v="2"/>
    <n v="524.70000000000005"/>
    <n v="4.7619047620000003"/>
    <n v="26.234999999999999"/>
    <n v="8.8000000000000007"/>
  </r>
  <r>
    <s v="358-88-9262"/>
    <x v="0"/>
    <x v="0"/>
    <x v="0"/>
    <x v="1"/>
    <x v="2"/>
    <n v="87.48"/>
    <n v="6"/>
    <n v="26.244"/>
    <x v="807"/>
    <x v="71"/>
    <x v="94"/>
    <x v="0"/>
    <n v="524.88"/>
    <n v="4.7619047620000003"/>
    <n v="26.244"/>
    <n v="5.0999999999999996"/>
  </r>
  <r>
    <s v="915-48-5081"/>
    <x v="0"/>
    <x v="1"/>
    <x v="0"/>
    <x v="1"/>
    <x v="2"/>
    <n v="87.48"/>
    <n v="6"/>
    <n v="26.244"/>
    <x v="807"/>
    <x v="71"/>
    <x v="94"/>
    <x v="1"/>
    <n v="524.88"/>
    <n v="4.7619047620000003"/>
    <n v="26.244"/>
    <n v="5.0999999999999996"/>
  </r>
  <r>
    <s v="572-23-3647"/>
    <x v="0"/>
    <x v="0"/>
    <x v="0"/>
    <x v="1"/>
    <x v="2"/>
    <n v="87.48"/>
    <n v="6"/>
    <n v="26.244"/>
    <x v="807"/>
    <x v="71"/>
    <x v="94"/>
    <x v="0"/>
    <n v="524.88"/>
    <n v="4.7619047620000003"/>
    <n v="26.244"/>
    <n v="5.0999999999999996"/>
  </r>
  <r>
    <s v="236-55-8172"/>
    <x v="0"/>
    <x v="0"/>
    <x v="1"/>
    <x v="0"/>
    <x v="2"/>
    <n v="65.97"/>
    <n v="8"/>
    <n v="26.388000000000002"/>
    <x v="808"/>
    <x v="11"/>
    <x v="89"/>
    <x v="0"/>
    <n v="527.76"/>
    <n v="4.7619047620000003"/>
    <n v="26.388000000000002"/>
    <n v="8.4"/>
  </r>
  <r>
    <s v="541-08-3113"/>
    <x v="0"/>
    <x v="0"/>
    <x v="1"/>
    <x v="0"/>
    <x v="2"/>
    <n v="65.97"/>
    <n v="8"/>
    <n v="26.388000000000002"/>
    <x v="808"/>
    <x v="11"/>
    <x v="89"/>
    <x v="0"/>
    <n v="527.76"/>
    <n v="4.7619047620000003"/>
    <n v="26.388000000000002"/>
    <n v="8.4"/>
  </r>
  <r>
    <s v="256-46-9852"/>
    <x v="2"/>
    <x v="1"/>
    <x v="1"/>
    <x v="0"/>
    <x v="5"/>
    <n v="52.79"/>
    <n v="10"/>
    <n v="26.395"/>
    <x v="809"/>
    <x v="42"/>
    <x v="414"/>
    <x v="1"/>
    <n v="527.9"/>
    <n v="4.7619047620000003"/>
    <n v="26.395"/>
    <n v="10"/>
  </r>
  <r>
    <s v="866-70-2814"/>
    <x v="2"/>
    <x v="1"/>
    <x v="1"/>
    <x v="1"/>
    <x v="2"/>
    <n v="52.79"/>
    <n v="10"/>
    <n v="26.395"/>
    <x v="809"/>
    <x v="42"/>
    <x v="414"/>
    <x v="0"/>
    <n v="527.9"/>
    <n v="4.7619047620000003"/>
    <n v="26.395"/>
    <n v="10"/>
  </r>
  <r>
    <s v="438-23-1242"/>
    <x v="2"/>
    <x v="1"/>
    <x v="1"/>
    <x v="0"/>
    <x v="5"/>
    <n v="75.88"/>
    <n v="7"/>
    <n v="26.558"/>
    <x v="810"/>
    <x v="61"/>
    <x v="9"/>
    <x v="0"/>
    <n v="531.16"/>
    <n v="4.7619047620000003"/>
    <n v="26.558"/>
    <n v="8.9"/>
  </r>
  <r>
    <s v="959-66-1974"/>
    <x v="2"/>
    <x v="1"/>
    <x v="1"/>
    <x v="0"/>
    <x v="2"/>
    <n v="75.88"/>
    <n v="7"/>
    <n v="26.558"/>
    <x v="810"/>
    <x v="61"/>
    <x v="9"/>
    <x v="1"/>
    <n v="531.16"/>
    <n v="4.7619047620000003"/>
    <n v="26.558"/>
    <n v="8.9"/>
  </r>
  <r>
    <s v="727-84-2049"/>
    <x v="0"/>
    <x v="1"/>
    <x v="1"/>
    <x v="0"/>
    <x v="5"/>
    <n v="75.88"/>
    <n v="7"/>
    <n v="26.558"/>
    <x v="810"/>
    <x v="61"/>
    <x v="9"/>
    <x v="0"/>
    <n v="531.16"/>
    <n v="4.7619047620000003"/>
    <n v="26.558"/>
    <n v="8.9"/>
  </r>
  <r>
    <s v="166-19-2553"/>
    <x v="1"/>
    <x v="1"/>
    <x v="0"/>
    <x v="0"/>
    <x v="0"/>
    <n v="89.06"/>
    <n v="6"/>
    <n v="26.718"/>
    <x v="811"/>
    <x v="40"/>
    <x v="459"/>
    <x v="0"/>
    <n v="534.36"/>
    <n v="4.7619047620000003"/>
    <n v="26.718"/>
    <n v="9.9"/>
  </r>
  <r>
    <s v="466-27-6027"/>
    <x v="1"/>
    <x v="2"/>
    <x v="0"/>
    <x v="0"/>
    <x v="0"/>
    <n v="89.06"/>
    <n v="6"/>
    <n v="26.718"/>
    <x v="811"/>
    <x v="40"/>
    <x v="459"/>
    <x v="0"/>
    <n v="534.36"/>
    <n v="4.7619047620000003"/>
    <n v="26.718"/>
    <n v="9.9"/>
  </r>
  <r>
    <s v="873-95-4984"/>
    <x v="2"/>
    <x v="1"/>
    <x v="1"/>
    <x v="1"/>
    <x v="2"/>
    <n v="76.900000000000006"/>
    <n v="7"/>
    <n v="26.914999999999999"/>
    <x v="812"/>
    <x v="74"/>
    <x v="235"/>
    <x v="0"/>
    <n v="538.29999999999995"/>
    <n v="4.7619047620000003"/>
    <n v="26.914999999999999"/>
    <n v="7.7"/>
  </r>
  <r>
    <s v="847-39-2630"/>
    <x v="0"/>
    <x v="0"/>
    <x v="1"/>
    <x v="1"/>
    <x v="2"/>
    <n v="90.24"/>
    <n v="6"/>
    <n v="27.071999999999999"/>
    <x v="813"/>
    <x v="17"/>
    <x v="460"/>
    <x v="0"/>
    <n v="541.44000000000005"/>
    <n v="4.7619047620000003"/>
    <n v="27.071999999999999"/>
    <n v="6.2"/>
  </r>
  <r>
    <s v="862-59-8517"/>
    <x v="0"/>
    <x v="1"/>
    <x v="1"/>
    <x v="1"/>
    <x v="2"/>
    <n v="90.24"/>
    <n v="6"/>
    <n v="27.071999999999999"/>
    <x v="813"/>
    <x v="17"/>
    <x v="460"/>
    <x v="0"/>
    <n v="541.44000000000005"/>
    <n v="4.7619047620000003"/>
    <n v="27.071999999999999"/>
    <n v="6.2"/>
  </r>
  <r>
    <s v="589-12-1926"/>
    <x v="2"/>
    <x v="1"/>
    <x v="0"/>
    <x v="1"/>
    <x v="2"/>
    <n v="54.36"/>
    <n v="10"/>
    <n v="27.18"/>
    <x v="814"/>
    <x v="0"/>
    <x v="461"/>
    <x v="2"/>
    <n v="543.6"/>
    <n v="4.7619047620000003"/>
    <n v="27.18"/>
    <n v="6.1"/>
  </r>
  <r>
    <s v="827-44-5872"/>
    <x v="0"/>
    <x v="1"/>
    <x v="0"/>
    <x v="1"/>
    <x v="2"/>
    <n v="54.36"/>
    <n v="10"/>
    <n v="27.18"/>
    <x v="814"/>
    <x v="0"/>
    <x v="461"/>
    <x v="2"/>
    <n v="543.6"/>
    <n v="4.7619047620000003"/>
    <n v="27.18"/>
    <n v="6.1"/>
  </r>
  <r>
    <s v="413-69-1055"/>
    <x v="2"/>
    <x v="1"/>
    <x v="0"/>
    <x v="0"/>
    <x v="5"/>
    <n v="90.7"/>
    <n v="6"/>
    <n v="27.21"/>
    <x v="815"/>
    <x v="55"/>
    <x v="398"/>
    <x v="0"/>
    <n v="544.20000000000005"/>
    <n v="4.7619047620000003"/>
    <n v="27.21"/>
    <n v="5.3"/>
  </r>
  <r>
    <s v="466-61-5506"/>
    <x v="2"/>
    <x v="1"/>
    <x v="0"/>
    <x v="0"/>
    <x v="5"/>
    <n v="90.7"/>
    <n v="6"/>
    <n v="27.21"/>
    <x v="815"/>
    <x v="55"/>
    <x v="398"/>
    <x v="0"/>
    <n v="544.20000000000005"/>
    <n v="4.7619047620000003"/>
    <n v="27.21"/>
    <n v="5.3"/>
  </r>
  <r>
    <s v="540-92-9097"/>
    <x v="0"/>
    <x v="1"/>
    <x v="0"/>
    <x v="0"/>
    <x v="5"/>
    <n v="90.7"/>
    <n v="6"/>
    <n v="27.21"/>
    <x v="815"/>
    <x v="55"/>
    <x v="398"/>
    <x v="0"/>
    <n v="544.20000000000005"/>
    <n v="4.7619047620000003"/>
    <n v="27.21"/>
    <n v="5.3"/>
  </r>
  <r>
    <s v="192-58-4175"/>
    <x v="0"/>
    <x v="0"/>
    <x v="0"/>
    <x v="0"/>
    <x v="0"/>
    <n v="54.55"/>
    <n v="10"/>
    <n v="27.274999999999999"/>
    <x v="816"/>
    <x v="23"/>
    <x v="178"/>
    <x v="2"/>
    <n v="545.5"/>
    <n v="4.7619047620000003"/>
    <n v="27.274999999999999"/>
    <n v="7.1"/>
  </r>
  <r>
    <s v="878-30-2331"/>
    <x v="0"/>
    <x v="1"/>
    <x v="0"/>
    <x v="1"/>
    <x v="2"/>
    <n v="54.55"/>
    <n v="10"/>
    <n v="27.274999999999999"/>
    <x v="816"/>
    <x v="23"/>
    <x v="178"/>
    <x v="2"/>
    <n v="545.5"/>
    <n v="4.7619047620000003"/>
    <n v="27.274999999999999"/>
    <n v="7.1"/>
  </r>
  <r>
    <s v="207-14-9302"/>
    <x v="1"/>
    <x v="2"/>
    <x v="1"/>
    <x v="0"/>
    <x v="5"/>
    <n v="60.88"/>
    <n v="9"/>
    <n v="27.396000000000001"/>
    <x v="817"/>
    <x v="67"/>
    <x v="462"/>
    <x v="1"/>
    <n v="547.91999999999996"/>
    <n v="4.7619047620000003"/>
    <n v="27.396000000000001"/>
    <n v="4.7"/>
  </r>
  <r>
    <s v="272-65-1806"/>
    <x v="1"/>
    <x v="2"/>
    <x v="1"/>
    <x v="0"/>
    <x v="5"/>
    <n v="60.88"/>
    <n v="9"/>
    <n v="27.396000000000001"/>
    <x v="817"/>
    <x v="67"/>
    <x v="462"/>
    <x v="1"/>
    <n v="547.91999999999996"/>
    <n v="4.7619047620000003"/>
    <n v="27.396000000000001"/>
    <n v="4.7"/>
  </r>
  <r>
    <s v="275-56-8816"/>
    <x v="0"/>
    <x v="0"/>
    <x v="0"/>
    <x v="1"/>
    <x v="2"/>
    <n v="68.540000000000006"/>
    <n v="8"/>
    <n v="27.416"/>
    <x v="818"/>
    <x v="3"/>
    <x v="463"/>
    <x v="0"/>
    <n v="548.32000000000005"/>
    <n v="4.7619047620000003"/>
    <n v="27.416"/>
    <n v="8.5"/>
  </r>
  <r>
    <s v="663-86-9076"/>
    <x v="0"/>
    <x v="0"/>
    <x v="0"/>
    <x v="0"/>
    <x v="2"/>
    <n v="68.540000000000006"/>
    <n v="8"/>
    <n v="27.416"/>
    <x v="818"/>
    <x v="3"/>
    <x v="463"/>
    <x v="1"/>
    <n v="548.32000000000005"/>
    <n v="4.7619047620000003"/>
    <n v="27.416"/>
    <n v="8.5"/>
  </r>
  <r>
    <s v="811-25-8123"/>
    <x v="1"/>
    <x v="0"/>
    <x v="0"/>
    <x v="1"/>
    <x v="2"/>
    <n v="68.540000000000006"/>
    <n v="8"/>
    <n v="27.416"/>
    <x v="818"/>
    <x v="3"/>
    <x v="463"/>
    <x v="1"/>
    <n v="548.32000000000005"/>
    <n v="4.7619047620000003"/>
    <n v="27.416"/>
    <n v="8.5"/>
  </r>
  <r>
    <s v="763-63-9866"/>
    <x v="0"/>
    <x v="0"/>
    <x v="0"/>
    <x v="0"/>
    <x v="2"/>
    <n v="68.540000000000006"/>
    <n v="8"/>
    <n v="27.416"/>
    <x v="818"/>
    <x v="3"/>
    <x v="463"/>
    <x v="1"/>
    <n v="548.32000000000005"/>
    <n v="4.7619047620000003"/>
    <n v="27.416"/>
    <n v="14.2"/>
  </r>
  <r>
    <s v="417-77-6510"/>
    <x v="1"/>
    <x v="2"/>
    <x v="1"/>
    <x v="0"/>
    <x v="0"/>
    <n v="60.95"/>
    <n v="9"/>
    <n v="27.427499999999998"/>
    <x v="819"/>
    <x v="65"/>
    <x v="464"/>
    <x v="0"/>
    <n v="548.54999999999995"/>
    <n v="4.7619047620000003"/>
    <n v="27.427499999999998"/>
    <n v="6"/>
  </r>
  <r>
    <s v="541-48-8554"/>
    <x v="0"/>
    <x v="2"/>
    <x v="1"/>
    <x v="0"/>
    <x v="0"/>
    <n v="60.95"/>
    <n v="9"/>
    <n v="27.427499999999998"/>
    <x v="819"/>
    <x v="65"/>
    <x v="464"/>
    <x v="2"/>
    <n v="548.54999999999995"/>
    <n v="4.7619047620000003"/>
    <n v="27.427499999999998"/>
    <n v="6"/>
  </r>
  <r>
    <s v="238-14-9317"/>
    <x v="0"/>
    <x v="2"/>
    <x v="1"/>
    <x v="0"/>
    <x v="0"/>
    <n v="60.95"/>
    <n v="9"/>
    <n v="27.427499999999998"/>
    <x v="819"/>
    <x v="65"/>
    <x v="464"/>
    <x v="0"/>
    <n v="548.54999999999995"/>
    <n v="4.7619047620000003"/>
    <n v="27.427499999999998"/>
    <n v="6"/>
  </r>
  <r>
    <s v="433-08-7822"/>
    <x v="0"/>
    <x v="0"/>
    <x v="1"/>
    <x v="1"/>
    <x v="4"/>
    <n v="78.89"/>
    <n v="7"/>
    <n v="27.611499999999999"/>
    <x v="820"/>
    <x v="32"/>
    <x v="105"/>
    <x v="0"/>
    <n v="552.23"/>
    <n v="4.7619047620000003"/>
    <n v="27.611499999999999"/>
    <n v="7.5"/>
  </r>
  <r>
    <s v="838-25-8221"/>
    <x v="0"/>
    <x v="0"/>
    <x v="1"/>
    <x v="0"/>
    <x v="4"/>
    <n v="78.89"/>
    <n v="7"/>
    <n v="27.611499999999999"/>
    <x v="820"/>
    <x v="32"/>
    <x v="105"/>
    <x v="0"/>
    <n v="552.23"/>
    <n v="4.7619047620000003"/>
    <n v="27.611499999999999"/>
    <n v="7.5"/>
  </r>
  <r>
    <s v="802-70-5316"/>
    <x v="1"/>
    <x v="2"/>
    <x v="0"/>
    <x v="0"/>
    <x v="0"/>
    <n v="92.13"/>
    <n v="6"/>
    <n v="27.638999999999999"/>
    <x v="821"/>
    <x v="37"/>
    <x v="465"/>
    <x v="0"/>
    <n v="552.78"/>
    <n v="4.7619047620000003"/>
    <n v="27.638999999999999"/>
    <n v="8.3000000000000007"/>
  </r>
  <r>
    <s v="660-29-7083"/>
    <x v="0"/>
    <x v="1"/>
    <x v="1"/>
    <x v="0"/>
    <x v="5"/>
    <n v="55.87"/>
    <n v="10"/>
    <n v="27.934999999999999"/>
    <x v="822"/>
    <x v="67"/>
    <x v="466"/>
    <x v="0"/>
    <n v="558.70000000000005"/>
    <n v="4.7619047620000003"/>
    <n v="27.934999999999999"/>
    <n v="5.8"/>
  </r>
  <r>
    <s v="897-10-3295"/>
    <x v="0"/>
    <x v="1"/>
    <x v="1"/>
    <x v="0"/>
    <x v="2"/>
    <n v="55.87"/>
    <n v="10"/>
    <n v="27.934999999999999"/>
    <x v="822"/>
    <x v="67"/>
    <x v="466"/>
    <x v="0"/>
    <n v="558.70000000000005"/>
    <n v="4.7619047620000003"/>
    <n v="27.934999999999999"/>
    <n v="5.8"/>
  </r>
  <r>
    <s v="937-20-8443"/>
    <x v="0"/>
    <x v="0"/>
    <x v="1"/>
    <x v="0"/>
    <x v="5"/>
    <n v="55.87"/>
    <n v="10"/>
    <n v="27.934999999999999"/>
    <x v="822"/>
    <x v="67"/>
    <x v="466"/>
    <x v="0"/>
    <n v="558.70000000000005"/>
    <n v="4.7619047620000003"/>
    <n v="27.934999999999999"/>
    <n v="14.3"/>
  </r>
  <r>
    <s v="227-51-5540"/>
    <x v="2"/>
    <x v="1"/>
    <x v="1"/>
    <x v="0"/>
    <x v="1"/>
    <n v="79.86"/>
    <n v="7"/>
    <n v="27.951000000000001"/>
    <x v="823"/>
    <x v="56"/>
    <x v="284"/>
    <x v="0"/>
    <n v="559.02"/>
    <n v="4.7619047620000003"/>
    <n v="27.951000000000001"/>
    <n v="5.5"/>
  </r>
  <r>
    <s v="241-11-2261"/>
    <x v="0"/>
    <x v="1"/>
    <x v="1"/>
    <x v="1"/>
    <x v="1"/>
    <n v="79.86"/>
    <n v="7"/>
    <n v="27.951000000000001"/>
    <x v="823"/>
    <x v="56"/>
    <x v="284"/>
    <x v="2"/>
    <n v="559.02"/>
    <n v="4.7619047620000003"/>
    <n v="27.951000000000001"/>
    <n v="5.5"/>
  </r>
  <r>
    <s v="136-08-6195"/>
    <x v="1"/>
    <x v="1"/>
    <x v="1"/>
    <x v="1"/>
    <x v="3"/>
    <n v="69.959999999999994"/>
    <n v="8"/>
    <n v="27.984000000000002"/>
    <x v="824"/>
    <x v="74"/>
    <x v="287"/>
    <x v="2"/>
    <n v="559.67999999999995"/>
    <n v="4.7619047620000003"/>
    <n v="27.984000000000002"/>
    <n v="6.4"/>
  </r>
  <r>
    <s v="423-57-2993"/>
    <x v="2"/>
    <x v="1"/>
    <x v="1"/>
    <x v="0"/>
    <x v="0"/>
    <n v="93.39"/>
    <n v="6"/>
    <n v="28.016999999999999"/>
    <x v="825"/>
    <x v="82"/>
    <x v="467"/>
    <x v="0"/>
    <n v="560.34"/>
    <n v="4.7619047620000003"/>
    <n v="28.016999999999999"/>
    <n v="10"/>
  </r>
  <r>
    <s v="663-97-4229"/>
    <x v="0"/>
    <x v="1"/>
    <x v="1"/>
    <x v="0"/>
    <x v="0"/>
    <n v="93.39"/>
    <n v="6"/>
    <n v="28.016999999999999"/>
    <x v="825"/>
    <x v="82"/>
    <x v="467"/>
    <x v="0"/>
    <n v="560.34"/>
    <n v="4.7619047620000003"/>
    <n v="28.016999999999999"/>
    <n v="10"/>
  </r>
  <r>
    <s v="472-56-8422"/>
    <x v="1"/>
    <x v="2"/>
    <x v="0"/>
    <x v="0"/>
    <x v="1"/>
    <n v="56.04"/>
    <n v="10"/>
    <n v="28.02"/>
    <x v="826"/>
    <x v="9"/>
    <x v="123"/>
    <x v="1"/>
    <n v="560.4"/>
    <n v="4.7619047620000003"/>
    <n v="28.02"/>
    <n v="4.4000000000000004"/>
  </r>
  <r>
    <s v="588-47-8641"/>
    <x v="1"/>
    <x v="2"/>
    <x v="0"/>
    <x v="0"/>
    <x v="1"/>
    <n v="56.04"/>
    <n v="10"/>
    <n v="28.02"/>
    <x v="826"/>
    <x v="9"/>
    <x v="123"/>
    <x v="1"/>
    <n v="560.4"/>
    <n v="4.7619047620000003"/>
    <n v="28.02"/>
    <n v="4.4000000000000004"/>
  </r>
  <r>
    <s v="299-46-1805"/>
    <x v="2"/>
    <x v="1"/>
    <x v="0"/>
    <x v="1"/>
    <x v="0"/>
    <n v="93.72"/>
    <n v="6"/>
    <n v="28.116"/>
    <x v="827"/>
    <x v="67"/>
    <x v="352"/>
    <x v="0"/>
    <n v="562.32000000000005"/>
    <n v="4.7619047620000003"/>
    <n v="28.116"/>
    <n v="4.5"/>
  </r>
  <r>
    <s v="550-34-7354"/>
    <x v="1"/>
    <x v="1"/>
    <x v="0"/>
    <x v="1"/>
    <x v="0"/>
    <n v="93.72"/>
    <n v="6"/>
    <n v="28.116"/>
    <x v="827"/>
    <x v="67"/>
    <x v="352"/>
    <x v="0"/>
    <n v="562.32000000000005"/>
    <n v="4.7619047620000003"/>
    <n v="28.116"/>
    <n v="4.5"/>
  </r>
  <r>
    <s v="386-27-7606"/>
    <x v="0"/>
    <x v="1"/>
    <x v="0"/>
    <x v="1"/>
    <x v="3"/>
    <n v="81.2"/>
    <n v="7"/>
    <n v="28.42"/>
    <x v="828"/>
    <x v="19"/>
    <x v="416"/>
    <x v="0"/>
    <n v="568.4"/>
    <n v="4.7619047620000003"/>
    <n v="28.42"/>
    <n v="8.1"/>
  </r>
  <r>
    <s v="698-10-5006"/>
    <x v="0"/>
    <x v="1"/>
    <x v="0"/>
    <x v="0"/>
    <x v="3"/>
    <n v="81.2"/>
    <n v="7"/>
    <n v="28.42"/>
    <x v="828"/>
    <x v="19"/>
    <x v="416"/>
    <x v="0"/>
    <n v="568.4"/>
    <n v="4.7619047620000003"/>
    <n v="28.42"/>
    <n v="8.1"/>
  </r>
  <r>
    <s v="314-23-4520"/>
    <x v="0"/>
    <x v="1"/>
    <x v="0"/>
    <x v="0"/>
    <x v="4"/>
    <n v="81.23"/>
    <n v="7"/>
    <n v="28.430499999999999"/>
    <x v="829"/>
    <x v="67"/>
    <x v="468"/>
    <x v="0"/>
    <n v="568.61"/>
    <n v="4.7619047620000003"/>
    <n v="28.430499999999999"/>
    <n v="9"/>
  </r>
  <r>
    <s v="677-92-0477"/>
    <x v="0"/>
    <x v="1"/>
    <x v="0"/>
    <x v="0"/>
    <x v="4"/>
    <n v="81.23"/>
    <n v="7"/>
    <n v="28.430499999999999"/>
    <x v="829"/>
    <x v="67"/>
    <x v="468"/>
    <x v="0"/>
    <n v="568.61"/>
    <n v="4.7619047620000003"/>
    <n v="28.430499999999999"/>
    <n v="9"/>
  </r>
  <r>
    <s v="339-96-8318"/>
    <x v="0"/>
    <x v="1"/>
    <x v="0"/>
    <x v="0"/>
    <x v="1"/>
    <n v="81.31"/>
    <n v="7"/>
    <n v="28.458500000000001"/>
    <x v="830"/>
    <x v="47"/>
    <x v="423"/>
    <x v="0"/>
    <n v="569.16999999999996"/>
    <n v="4.7619047620000003"/>
    <n v="28.458500000000001"/>
    <n v="6.3"/>
  </r>
  <r>
    <s v="713-41-8315"/>
    <x v="2"/>
    <x v="1"/>
    <x v="0"/>
    <x v="0"/>
    <x v="1"/>
    <n v="81.31"/>
    <n v="7"/>
    <n v="28.458500000000001"/>
    <x v="830"/>
    <x v="47"/>
    <x v="423"/>
    <x v="0"/>
    <n v="569.16999999999996"/>
    <n v="4.7619047620000003"/>
    <n v="28.458500000000001"/>
    <n v="6.3"/>
  </r>
  <r>
    <s v="545-57-9357"/>
    <x v="0"/>
    <x v="1"/>
    <x v="0"/>
    <x v="0"/>
    <x v="2"/>
    <n v="81.31"/>
    <n v="7"/>
    <n v="28.458500000000001"/>
    <x v="830"/>
    <x v="47"/>
    <x v="423"/>
    <x v="0"/>
    <n v="569.16999999999996"/>
    <n v="4.7619047620000003"/>
    <n v="28.458500000000001"/>
    <n v="6.3"/>
  </r>
  <r>
    <s v="262-47-2794"/>
    <x v="2"/>
    <x v="1"/>
    <x v="0"/>
    <x v="0"/>
    <x v="3"/>
    <n v="71.86"/>
    <n v="8"/>
    <n v="28.744"/>
    <x v="831"/>
    <x v="37"/>
    <x v="469"/>
    <x v="2"/>
    <n v="574.88"/>
    <n v="4.7619047620000003"/>
    <n v="28.744"/>
    <n v="6.2"/>
  </r>
  <r>
    <s v="278-79-8401"/>
    <x v="0"/>
    <x v="0"/>
    <x v="1"/>
    <x v="0"/>
    <x v="5"/>
    <n v="71.89"/>
    <n v="8"/>
    <n v="28.756"/>
    <x v="832"/>
    <x v="87"/>
    <x v="470"/>
    <x v="0"/>
    <n v="575.12"/>
    <n v="4.7619047620000003"/>
    <n v="28.756"/>
    <n v="5.5"/>
  </r>
  <r>
    <s v="886-77-9084"/>
    <x v="0"/>
    <x v="1"/>
    <x v="1"/>
    <x v="0"/>
    <x v="2"/>
    <n v="71.89"/>
    <n v="8"/>
    <n v="28.756"/>
    <x v="832"/>
    <x v="87"/>
    <x v="470"/>
    <x v="1"/>
    <n v="575.12"/>
    <n v="4.7619047620000003"/>
    <n v="28.756"/>
    <n v="5.5"/>
  </r>
  <r>
    <s v="369-85-9012"/>
    <x v="1"/>
    <x v="0"/>
    <x v="1"/>
    <x v="0"/>
    <x v="2"/>
    <n v="71.89"/>
    <n v="8"/>
    <n v="28.756"/>
    <x v="832"/>
    <x v="87"/>
    <x v="470"/>
    <x v="1"/>
    <n v="575.12"/>
    <n v="4.7619047620000003"/>
    <n v="28.756"/>
    <n v="5.5"/>
  </r>
  <r>
    <s v="406-46-7107"/>
    <x v="1"/>
    <x v="1"/>
    <x v="1"/>
    <x v="1"/>
    <x v="3"/>
    <n v="96.52"/>
    <n v="6"/>
    <n v="28.956"/>
    <x v="833"/>
    <x v="68"/>
    <x v="173"/>
    <x v="0"/>
    <n v="579.12"/>
    <n v="4.7619047620000003"/>
    <n v="28.956"/>
    <n v="4.5"/>
  </r>
  <r>
    <s v="126-38-8809"/>
    <x v="0"/>
    <x v="1"/>
    <x v="1"/>
    <x v="0"/>
    <x v="3"/>
    <n v="96.52"/>
    <n v="6"/>
    <n v="28.956"/>
    <x v="833"/>
    <x v="68"/>
    <x v="173"/>
    <x v="0"/>
    <n v="579.12"/>
    <n v="4.7619047620000003"/>
    <n v="28.956"/>
    <n v="4.5"/>
  </r>
  <r>
    <s v="152-08-9985"/>
    <x v="2"/>
    <x v="1"/>
    <x v="0"/>
    <x v="0"/>
    <x v="4"/>
    <n v="64.36"/>
    <n v="9"/>
    <n v="28.962"/>
    <x v="834"/>
    <x v="31"/>
    <x v="449"/>
    <x v="2"/>
    <n v="579.24"/>
    <n v="4.7619047620000003"/>
    <n v="28.962"/>
    <n v="8.6"/>
  </r>
  <r>
    <s v="575-30-8091"/>
    <x v="1"/>
    <x v="2"/>
    <x v="1"/>
    <x v="0"/>
    <x v="0"/>
    <n v="72.5"/>
    <n v="8"/>
    <n v="29"/>
    <x v="835"/>
    <x v="29"/>
    <x v="158"/>
    <x v="1"/>
    <n v="580"/>
    <n v="4.7619047620000003"/>
    <n v="29"/>
    <n v="9.1999999999999993"/>
  </r>
  <r>
    <s v="131-15-8856"/>
    <x v="0"/>
    <x v="0"/>
    <x v="0"/>
    <x v="1"/>
    <x v="2"/>
    <n v="72.52"/>
    <n v="8"/>
    <n v="29.007999999999999"/>
    <x v="836"/>
    <x v="80"/>
    <x v="67"/>
    <x v="0"/>
    <n v="580.16"/>
    <n v="4.7619047620000003"/>
    <n v="29.007999999999999"/>
    <n v="4"/>
  </r>
  <r>
    <s v="963-36-8022"/>
    <x v="0"/>
    <x v="1"/>
    <x v="0"/>
    <x v="1"/>
    <x v="2"/>
    <n v="72.52"/>
    <n v="8"/>
    <n v="29.007999999999999"/>
    <x v="836"/>
    <x v="80"/>
    <x v="67"/>
    <x v="2"/>
    <n v="580.16"/>
    <n v="4.7619047620000003"/>
    <n v="29.007999999999999"/>
    <n v="4"/>
  </r>
  <r>
    <s v="731-59-7531"/>
    <x v="0"/>
    <x v="1"/>
    <x v="0"/>
    <x v="0"/>
    <x v="4"/>
    <n v="72.569999999999993"/>
    <n v="8"/>
    <n v="29.027999999999999"/>
    <x v="837"/>
    <x v="80"/>
    <x v="12"/>
    <x v="0"/>
    <n v="580.55999999999995"/>
    <n v="4.7619047620000003"/>
    <n v="29.027999999999999"/>
    <n v="4.5999999999999996"/>
  </r>
  <r>
    <s v="730-50-9884"/>
    <x v="0"/>
    <x v="0"/>
    <x v="1"/>
    <x v="0"/>
    <x v="0"/>
    <n v="83.06"/>
    <n v="7"/>
    <n v="29.071000000000002"/>
    <x v="838"/>
    <x v="53"/>
    <x v="471"/>
    <x v="1"/>
    <n v="581.41999999999996"/>
    <n v="4.7619047620000003"/>
    <n v="29.071000000000002"/>
    <n v="4"/>
  </r>
  <r>
    <s v="887-42-0517"/>
    <x v="0"/>
    <x v="1"/>
    <x v="1"/>
    <x v="1"/>
    <x v="2"/>
    <n v="83.14"/>
    <n v="7"/>
    <n v="29.099"/>
    <x v="839"/>
    <x v="56"/>
    <x v="232"/>
    <x v="0"/>
    <n v="581.98"/>
    <n v="4.7619047620000003"/>
    <n v="29.099"/>
    <n v="6.6"/>
  </r>
  <r>
    <s v="902-29-7121"/>
    <x v="0"/>
    <x v="1"/>
    <x v="1"/>
    <x v="0"/>
    <x v="2"/>
    <n v="83.14"/>
    <n v="7"/>
    <n v="29.099"/>
    <x v="839"/>
    <x v="56"/>
    <x v="232"/>
    <x v="2"/>
    <n v="581.98"/>
    <n v="4.7619047620000003"/>
    <n v="29.099"/>
    <n v="6.6"/>
  </r>
  <r>
    <s v="109-28-2512"/>
    <x v="2"/>
    <x v="1"/>
    <x v="0"/>
    <x v="0"/>
    <x v="1"/>
    <n v="97.61"/>
    <n v="6"/>
    <n v="29.283000000000001"/>
    <x v="840"/>
    <x v="65"/>
    <x v="466"/>
    <x v="1"/>
    <n v="585.66"/>
    <n v="4.7619047620000003"/>
    <n v="29.283000000000001"/>
    <n v="9.9"/>
  </r>
  <r>
    <s v="137-63-5492"/>
    <x v="0"/>
    <x v="1"/>
    <x v="1"/>
    <x v="0"/>
    <x v="5"/>
    <n v="58.76"/>
    <n v="10"/>
    <n v="29.38"/>
    <x v="841"/>
    <x v="38"/>
    <x v="325"/>
    <x v="1"/>
    <n v="587.6"/>
    <n v="4.7619047620000003"/>
    <n v="29.38"/>
    <n v="9"/>
  </r>
  <r>
    <s v="841-43-7329"/>
    <x v="0"/>
    <x v="0"/>
    <x v="1"/>
    <x v="0"/>
    <x v="5"/>
    <n v="58.76"/>
    <n v="10"/>
    <n v="29.38"/>
    <x v="841"/>
    <x v="38"/>
    <x v="325"/>
    <x v="1"/>
    <n v="587.6"/>
    <n v="4.7619047620000003"/>
    <n v="29.38"/>
    <n v="9"/>
  </r>
  <r>
    <s v="648-94-3045"/>
    <x v="0"/>
    <x v="0"/>
    <x v="1"/>
    <x v="0"/>
    <x v="4"/>
    <n v="58.95"/>
    <n v="10"/>
    <n v="29.475000000000001"/>
    <x v="842"/>
    <x v="0"/>
    <x v="472"/>
    <x v="1"/>
    <n v="589.5"/>
    <n v="4.7619047620000003"/>
    <n v="29.475000000000001"/>
    <n v="8.1"/>
  </r>
  <r>
    <s v="263-71-4046"/>
    <x v="0"/>
    <x v="0"/>
    <x v="1"/>
    <x v="0"/>
    <x v="4"/>
    <n v="58.95"/>
    <n v="10"/>
    <n v="29.475000000000001"/>
    <x v="842"/>
    <x v="0"/>
    <x v="472"/>
    <x v="1"/>
    <n v="589.5"/>
    <n v="4.7619047620000003"/>
    <n v="29.475000000000001"/>
    <n v="14.4"/>
  </r>
  <r>
    <s v="189-30-1968"/>
    <x v="1"/>
    <x v="2"/>
    <x v="0"/>
    <x v="0"/>
    <x v="2"/>
    <n v="98.53"/>
    <n v="6"/>
    <n v="29.559000000000001"/>
    <x v="843"/>
    <x v="27"/>
    <x v="178"/>
    <x v="2"/>
    <n v="591.17999999999995"/>
    <n v="4.7619047620000003"/>
    <n v="29.559000000000001"/>
    <n v="4"/>
  </r>
  <r>
    <s v="828-46-6863"/>
    <x v="0"/>
    <x v="2"/>
    <x v="0"/>
    <x v="0"/>
    <x v="2"/>
    <n v="98.53"/>
    <n v="6"/>
    <n v="29.559000000000001"/>
    <x v="843"/>
    <x v="27"/>
    <x v="178"/>
    <x v="0"/>
    <n v="591.17999999999995"/>
    <n v="4.7619047620000003"/>
    <n v="29.559000000000001"/>
    <n v="4"/>
  </r>
  <r>
    <s v="471-67-8863"/>
    <x v="1"/>
    <x v="2"/>
    <x v="1"/>
    <x v="0"/>
    <x v="1"/>
    <n v="65.739999999999995"/>
    <n v="9"/>
    <n v="29.582999999999998"/>
    <x v="844"/>
    <x v="85"/>
    <x v="333"/>
    <x v="0"/>
    <n v="591.66"/>
    <n v="4.7619047620000003"/>
    <n v="29.582999999999998"/>
    <n v="7.7"/>
  </r>
  <r>
    <s v="651-88-7328"/>
    <x v="0"/>
    <x v="2"/>
    <x v="1"/>
    <x v="1"/>
    <x v="1"/>
    <n v="65.739999999999995"/>
    <n v="9"/>
    <n v="29.582999999999998"/>
    <x v="844"/>
    <x v="85"/>
    <x v="333"/>
    <x v="0"/>
    <n v="591.66"/>
    <n v="4.7619047620000003"/>
    <n v="29.582999999999998"/>
    <n v="7.7"/>
  </r>
  <r>
    <s v="369-77-6205"/>
    <x v="0"/>
    <x v="0"/>
    <x v="1"/>
    <x v="1"/>
    <x v="1"/>
    <n v="65.739999999999995"/>
    <n v="9"/>
    <n v="29.582999999999998"/>
    <x v="844"/>
    <x v="85"/>
    <x v="333"/>
    <x v="0"/>
    <n v="591.66"/>
    <n v="4.7619047620000003"/>
    <n v="29.582999999999998"/>
    <n v="14.5"/>
  </r>
  <r>
    <s v="125-45-2293"/>
    <x v="1"/>
    <x v="1"/>
    <x v="1"/>
    <x v="1"/>
    <x v="1"/>
    <n v="99.1"/>
    <n v="6"/>
    <n v="29.73"/>
    <x v="845"/>
    <x v="35"/>
    <x v="124"/>
    <x v="0"/>
    <n v="594.6"/>
    <n v="4.7619047620000003"/>
    <n v="29.73"/>
    <n v="4.2"/>
  </r>
  <r>
    <s v="870-72-4431"/>
    <x v="0"/>
    <x v="1"/>
    <x v="1"/>
    <x v="0"/>
    <x v="2"/>
    <n v="99.19"/>
    <n v="6"/>
    <n v="29.757000000000001"/>
    <x v="846"/>
    <x v="69"/>
    <x v="28"/>
    <x v="2"/>
    <n v="595.14"/>
    <n v="4.7619047620000003"/>
    <n v="29.757000000000001"/>
    <n v="5.5"/>
  </r>
  <r>
    <s v="223-94-7654"/>
    <x v="0"/>
    <x v="0"/>
    <x v="1"/>
    <x v="0"/>
    <x v="1"/>
    <n v="59.61"/>
    <n v="10"/>
    <n v="29.805"/>
    <x v="847"/>
    <x v="45"/>
    <x v="75"/>
    <x v="0"/>
    <n v="596.1"/>
    <n v="4.7619047620000003"/>
    <n v="29.805"/>
    <n v="5.3"/>
  </r>
  <r>
    <s v="379-17-6588"/>
    <x v="0"/>
    <x v="0"/>
    <x v="1"/>
    <x v="0"/>
    <x v="1"/>
    <n v="59.61"/>
    <n v="10"/>
    <n v="29.805"/>
    <x v="847"/>
    <x v="45"/>
    <x v="75"/>
    <x v="0"/>
    <n v="596.1"/>
    <n v="4.7619047620000003"/>
    <n v="29.805"/>
    <n v="5.3"/>
  </r>
  <r>
    <s v="301-15-7874"/>
    <x v="0"/>
    <x v="0"/>
    <x v="1"/>
    <x v="0"/>
    <x v="2"/>
    <n v="59.61"/>
    <n v="10"/>
    <n v="29.805"/>
    <x v="847"/>
    <x v="45"/>
    <x v="75"/>
    <x v="0"/>
    <n v="596.1"/>
    <n v="4.7619047620000003"/>
    <n v="29.805"/>
    <n v="5.3"/>
  </r>
  <r>
    <s v="699-14-3026"/>
    <x v="0"/>
    <x v="0"/>
    <x v="1"/>
    <x v="0"/>
    <x v="5"/>
    <n v="85.39"/>
    <n v="7"/>
    <n v="29.886500000000002"/>
    <x v="848"/>
    <x v="48"/>
    <x v="353"/>
    <x v="1"/>
    <n v="597.73"/>
    <n v="4.7619047620000003"/>
    <n v="29.886500000000002"/>
    <n v="4.0999999999999996"/>
  </r>
  <r>
    <s v="896-83-2452"/>
    <x v="0"/>
    <x v="1"/>
    <x v="1"/>
    <x v="0"/>
    <x v="2"/>
    <n v="85.39"/>
    <n v="7"/>
    <n v="29.886500000000002"/>
    <x v="848"/>
    <x v="48"/>
    <x v="353"/>
    <x v="1"/>
    <n v="597.73"/>
    <n v="4.7619047620000003"/>
    <n v="29.886500000000002"/>
    <n v="4.0999999999999996"/>
  </r>
  <r>
    <s v="477-24-6490"/>
    <x v="2"/>
    <x v="1"/>
    <x v="1"/>
    <x v="0"/>
    <x v="4"/>
    <n v="99.71"/>
    <n v="6"/>
    <n v="29.913"/>
    <x v="849"/>
    <x v="55"/>
    <x v="45"/>
    <x v="1"/>
    <n v="598.26"/>
    <n v="4.7619047620000003"/>
    <n v="29.913"/>
    <n v="7.9"/>
  </r>
  <r>
    <s v="667-92-0055"/>
    <x v="1"/>
    <x v="1"/>
    <x v="1"/>
    <x v="0"/>
    <x v="4"/>
    <n v="99.83"/>
    <n v="6"/>
    <n v="29.949000000000002"/>
    <x v="850"/>
    <x v="26"/>
    <x v="473"/>
    <x v="1"/>
    <n v="598.98"/>
    <n v="4.7619047620000003"/>
    <n v="29.949000000000002"/>
    <n v="8.5"/>
  </r>
  <r>
    <s v="690-17-9301"/>
    <x v="1"/>
    <x v="0"/>
    <x v="1"/>
    <x v="0"/>
    <x v="4"/>
    <n v="99.83"/>
    <n v="6"/>
    <n v="29.949000000000002"/>
    <x v="850"/>
    <x v="26"/>
    <x v="473"/>
    <x v="1"/>
    <n v="598.98"/>
    <n v="4.7619047620000003"/>
    <n v="29.949000000000002"/>
    <n v="14.6"/>
  </r>
  <r>
    <s v="725-54-0677"/>
    <x v="0"/>
    <x v="1"/>
    <x v="0"/>
    <x v="0"/>
    <x v="4"/>
    <n v="85.6"/>
    <n v="7"/>
    <n v="29.96"/>
    <x v="851"/>
    <x v="23"/>
    <x v="474"/>
    <x v="0"/>
    <n v="599.20000000000005"/>
    <n v="4.7619047620000003"/>
    <n v="29.96"/>
    <n v="5.3"/>
  </r>
  <r>
    <s v="641-62-7288"/>
    <x v="2"/>
    <x v="1"/>
    <x v="1"/>
    <x v="0"/>
    <x v="3"/>
    <n v="99.92"/>
    <n v="6"/>
    <n v="29.975999999999999"/>
    <x v="852"/>
    <x v="73"/>
    <x v="475"/>
    <x v="0"/>
    <n v="599.52"/>
    <n v="4.7619047620000003"/>
    <n v="29.975999999999999"/>
    <n v="7.1"/>
  </r>
  <r>
    <s v="286-66-3647"/>
    <x v="2"/>
    <x v="0"/>
    <x v="1"/>
    <x v="0"/>
    <x v="3"/>
    <n v="99.92"/>
    <n v="6"/>
    <n v="29.975999999999999"/>
    <x v="852"/>
    <x v="73"/>
    <x v="475"/>
    <x v="0"/>
    <n v="599.52"/>
    <n v="4.7619047620000003"/>
    <n v="29.975999999999999"/>
    <n v="14.7"/>
  </r>
  <r>
    <s v="658-77-9433"/>
    <x v="0"/>
    <x v="0"/>
    <x v="0"/>
    <x v="0"/>
    <x v="5"/>
    <n v="66.650000000000006"/>
    <n v="9"/>
    <n v="29.9925"/>
    <x v="853"/>
    <x v="72"/>
    <x v="1"/>
    <x v="2"/>
    <n v="599.85"/>
    <n v="4.7619047620000003"/>
    <n v="29.9925"/>
    <n v="9.6999999999999993"/>
  </r>
  <r>
    <s v="672-51-8681"/>
    <x v="0"/>
    <x v="0"/>
    <x v="0"/>
    <x v="0"/>
    <x v="5"/>
    <n v="66.650000000000006"/>
    <n v="9"/>
    <n v="29.9925"/>
    <x v="853"/>
    <x v="72"/>
    <x v="1"/>
    <x v="2"/>
    <n v="599.85"/>
    <n v="4.7619047620000003"/>
    <n v="29.9925"/>
    <n v="9.6999999999999993"/>
  </r>
  <r>
    <s v="428-32-3001"/>
    <x v="0"/>
    <x v="0"/>
    <x v="0"/>
    <x v="0"/>
    <x v="5"/>
    <n v="66.650000000000006"/>
    <n v="9"/>
    <n v="29.9925"/>
    <x v="853"/>
    <x v="72"/>
    <x v="1"/>
    <x v="2"/>
    <n v="599.85"/>
    <n v="4.7619047620000003"/>
    <n v="29.9925"/>
    <n v="14.8"/>
  </r>
  <r>
    <s v="539-47-2192"/>
    <x v="0"/>
    <x v="0"/>
    <x v="0"/>
    <x v="0"/>
    <x v="5"/>
    <n v="66.650000000000006"/>
    <n v="9"/>
    <n v="29.9925"/>
    <x v="853"/>
    <x v="72"/>
    <x v="1"/>
    <x v="2"/>
    <n v="599.85"/>
    <n v="4.7619047620000003"/>
    <n v="29.9925"/>
    <n v="14.9"/>
  </r>
  <r>
    <s v="759-98-4285"/>
    <x v="0"/>
    <x v="1"/>
    <x v="0"/>
    <x v="1"/>
    <x v="4"/>
    <n v="85.87"/>
    <n v="7"/>
    <n v="30.054500000000001"/>
    <x v="854"/>
    <x v="46"/>
    <x v="253"/>
    <x v="2"/>
    <n v="601.09"/>
    <n v="4.7619047620000003"/>
    <n v="30.054500000000001"/>
    <n v="8"/>
  </r>
  <r>
    <s v="430-53-4718"/>
    <x v="2"/>
    <x v="1"/>
    <x v="0"/>
    <x v="0"/>
    <x v="4"/>
    <n v="75.37"/>
    <n v="8"/>
    <n v="30.148"/>
    <x v="855"/>
    <x v="12"/>
    <x v="6"/>
    <x v="0"/>
    <n v="602.96"/>
    <n v="4.7619047620000003"/>
    <n v="30.148"/>
    <n v="8.4"/>
  </r>
  <r>
    <s v="863-94-5864"/>
    <x v="0"/>
    <x v="1"/>
    <x v="0"/>
    <x v="0"/>
    <x v="4"/>
    <n v="75.37"/>
    <n v="8"/>
    <n v="30.148"/>
    <x v="855"/>
    <x v="12"/>
    <x v="6"/>
    <x v="0"/>
    <n v="602.96"/>
    <n v="4.7619047620000003"/>
    <n v="30.148"/>
    <n v="8.4"/>
  </r>
  <r>
    <s v="305-18-3552"/>
    <x v="0"/>
    <x v="1"/>
    <x v="0"/>
    <x v="0"/>
    <x v="3"/>
    <n v="60.38"/>
    <n v="10"/>
    <n v="30.19"/>
    <x v="856"/>
    <x v="41"/>
    <x v="352"/>
    <x v="0"/>
    <n v="603.79999999999995"/>
    <n v="4.7619047620000003"/>
    <n v="30.19"/>
    <n v="6"/>
  </r>
  <r>
    <s v="129-95-8369"/>
    <x v="1"/>
    <x v="1"/>
    <x v="0"/>
    <x v="0"/>
    <x v="3"/>
    <n v="60.38"/>
    <n v="10"/>
    <n v="30.19"/>
    <x v="856"/>
    <x v="41"/>
    <x v="352"/>
    <x v="0"/>
    <n v="603.79999999999995"/>
    <n v="4.7619047620000003"/>
    <n v="30.19"/>
    <n v="6"/>
  </r>
  <r>
    <s v="373-73-7910"/>
    <x v="1"/>
    <x v="2"/>
    <x v="1"/>
    <x v="0"/>
    <x v="0"/>
    <n v="86.31"/>
    <n v="7"/>
    <n v="30.208500000000001"/>
    <x v="857"/>
    <x v="13"/>
    <x v="209"/>
    <x v="0"/>
    <n v="604.16999999999996"/>
    <n v="4.7619047620000003"/>
    <n v="30.208500000000001"/>
    <n v="5.3"/>
  </r>
  <r>
    <s v="462-47-4986"/>
    <x v="0"/>
    <x v="2"/>
    <x v="1"/>
    <x v="0"/>
    <x v="2"/>
    <n v="86.31"/>
    <n v="7"/>
    <n v="30.208500000000001"/>
    <x v="857"/>
    <x v="13"/>
    <x v="209"/>
    <x v="0"/>
    <n v="604.16999999999996"/>
    <n v="4.7619047620000003"/>
    <n v="30.208500000000001"/>
    <n v="5.3"/>
  </r>
  <r>
    <s v="632-32-4574"/>
    <x v="0"/>
    <x v="1"/>
    <x v="1"/>
    <x v="0"/>
    <x v="0"/>
    <n v="75.92"/>
    <n v="8"/>
    <n v="30.367999999999999"/>
    <x v="858"/>
    <x v="34"/>
    <x v="33"/>
    <x v="0"/>
    <n v="607.36"/>
    <n v="4.7619047620000003"/>
    <n v="30.367999999999999"/>
    <n v="5.5"/>
  </r>
  <r>
    <s v="652-77-2229"/>
    <x v="2"/>
    <x v="1"/>
    <x v="1"/>
    <x v="0"/>
    <x v="0"/>
    <n v="75.92"/>
    <n v="8"/>
    <n v="30.367999999999999"/>
    <x v="858"/>
    <x v="34"/>
    <x v="33"/>
    <x v="0"/>
    <n v="607.36"/>
    <n v="4.7619047620000003"/>
    <n v="30.367999999999999"/>
    <n v="5.5"/>
  </r>
  <r>
    <s v="220-16-5417"/>
    <x v="0"/>
    <x v="0"/>
    <x v="1"/>
    <x v="0"/>
    <x v="0"/>
    <n v="75.92"/>
    <n v="8"/>
    <n v="30.367999999999999"/>
    <x v="858"/>
    <x v="34"/>
    <x v="33"/>
    <x v="0"/>
    <n v="607.36"/>
    <n v="4.7619047620000003"/>
    <n v="30.367999999999999"/>
    <n v="15"/>
  </r>
  <r>
    <s v="542-52-8115"/>
    <x v="2"/>
    <x v="0"/>
    <x v="1"/>
    <x v="0"/>
    <x v="0"/>
    <n v="75.92"/>
    <n v="8"/>
    <n v="30.367999999999999"/>
    <x v="858"/>
    <x v="34"/>
    <x v="33"/>
    <x v="0"/>
    <n v="607.36"/>
    <n v="4.7619047620000003"/>
    <n v="30.367999999999999"/>
    <n v="15.1"/>
  </r>
  <r>
    <s v="452-04-8808"/>
    <x v="2"/>
    <x v="1"/>
    <x v="1"/>
    <x v="0"/>
    <x v="5"/>
    <n v="87.08"/>
    <n v="7"/>
    <n v="30.478000000000002"/>
    <x v="859"/>
    <x v="1"/>
    <x v="476"/>
    <x v="0"/>
    <n v="609.55999999999995"/>
    <n v="4.7619047620000003"/>
    <n v="30.478000000000002"/>
    <n v="5.5"/>
  </r>
  <r>
    <s v="841-56-1032"/>
    <x v="2"/>
    <x v="1"/>
    <x v="1"/>
    <x v="0"/>
    <x v="5"/>
    <n v="87.08"/>
    <n v="7"/>
    <n v="30.478000000000002"/>
    <x v="859"/>
    <x v="1"/>
    <x v="476"/>
    <x v="0"/>
    <n v="609.55999999999995"/>
    <n v="4.7619047620000003"/>
    <n v="30.478000000000002"/>
    <n v="5.5"/>
  </r>
  <r>
    <s v="738-85-6421"/>
    <x v="0"/>
    <x v="1"/>
    <x v="1"/>
    <x v="0"/>
    <x v="2"/>
    <n v="87.08"/>
    <n v="7"/>
    <n v="30.478000000000002"/>
    <x v="859"/>
    <x v="1"/>
    <x v="476"/>
    <x v="0"/>
    <n v="609.55999999999995"/>
    <n v="4.7619047620000003"/>
    <n v="30.478000000000002"/>
    <n v="5.5"/>
  </r>
  <r>
    <s v="774-76-3895"/>
    <x v="0"/>
    <x v="1"/>
    <x v="1"/>
    <x v="0"/>
    <x v="2"/>
    <n v="87.08"/>
    <n v="7"/>
    <n v="30.478000000000002"/>
    <x v="859"/>
    <x v="1"/>
    <x v="476"/>
    <x v="0"/>
    <n v="609.55999999999995"/>
    <n v="4.7619047620000003"/>
    <n v="30.478000000000002"/>
    <n v="5.5"/>
  </r>
  <r>
    <s v="849-09-3807"/>
    <x v="1"/>
    <x v="2"/>
    <x v="0"/>
    <x v="1"/>
    <x v="2"/>
    <n v="88.34"/>
    <n v="7"/>
    <n v="30.919"/>
    <x v="860"/>
    <x v="24"/>
    <x v="243"/>
    <x v="0"/>
    <n v="618.38"/>
    <n v="4.7619047620000003"/>
    <n v="30.919"/>
    <n v="6.6"/>
  </r>
  <r>
    <s v="796-12-2025"/>
    <x v="0"/>
    <x v="0"/>
    <x v="1"/>
    <x v="0"/>
    <x v="1"/>
    <n v="62.12"/>
    <n v="10"/>
    <n v="31.06"/>
    <x v="861"/>
    <x v="88"/>
    <x v="352"/>
    <x v="0"/>
    <n v="621.20000000000005"/>
    <n v="4.7619047620000003"/>
    <n v="31.06"/>
    <n v="5.9"/>
  </r>
  <r>
    <s v="189-55-2313"/>
    <x v="0"/>
    <x v="1"/>
    <x v="1"/>
    <x v="1"/>
    <x v="1"/>
    <n v="62.18"/>
    <n v="10"/>
    <n v="31.09"/>
    <x v="862"/>
    <x v="63"/>
    <x v="284"/>
    <x v="0"/>
    <n v="621.79999999999995"/>
    <n v="4.7619047620000003"/>
    <n v="31.09"/>
    <n v="6"/>
  </r>
  <r>
    <s v="836-82-5858"/>
    <x v="2"/>
    <x v="1"/>
    <x v="0"/>
    <x v="0"/>
    <x v="4"/>
    <n v="69.37"/>
    <n v="9"/>
    <n v="31.2165"/>
    <x v="863"/>
    <x v="1"/>
    <x v="242"/>
    <x v="1"/>
    <n v="624.33000000000004"/>
    <n v="4.7619047620000003"/>
    <n v="31.2165"/>
    <n v="4"/>
  </r>
  <r>
    <s v="611-88-3312"/>
    <x v="1"/>
    <x v="2"/>
    <x v="0"/>
    <x v="0"/>
    <x v="5"/>
    <n v="69.58"/>
    <n v="9"/>
    <n v="31.311"/>
    <x v="864"/>
    <x v="87"/>
    <x v="248"/>
    <x v="2"/>
    <n v="626.22"/>
    <n v="4.7619047620000003"/>
    <n v="31.311"/>
    <n v="7.8"/>
  </r>
  <r>
    <s v="868-06-0466"/>
    <x v="0"/>
    <x v="1"/>
    <x v="0"/>
    <x v="0"/>
    <x v="2"/>
    <n v="69.58"/>
    <n v="9"/>
    <n v="31.311"/>
    <x v="864"/>
    <x v="87"/>
    <x v="248"/>
    <x v="2"/>
    <n v="626.22"/>
    <n v="4.7619047620000003"/>
    <n v="31.311"/>
    <n v="7.8"/>
  </r>
  <r>
    <s v="690-46-7844"/>
    <x v="1"/>
    <x v="2"/>
    <x v="0"/>
    <x v="0"/>
    <x v="5"/>
    <n v="69.58"/>
    <n v="9"/>
    <n v="31.311"/>
    <x v="864"/>
    <x v="87"/>
    <x v="248"/>
    <x v="2"/>
    <n v="626.22"/>
    <n v="4.7619047620000003"/>
    <n v="31.311"/>
    <n v="15.2"/>
  </r>
  <r>
    <s v="394-55-6384"/>
    <x v="0"/>
    <x v="0"/>
    <x v="0"/>
    <x v="1"/>
    <x v="0"/>
    <n v="70.19"/>
    <n v="9"/>
    <n v="31.5855"/>
    <x v="865"/>
    <x v="6"/>
    <x v="4"/>
    <x v="0"/>
    <n v="631.71"/>
    <n v="4.7619047620000003"/>
    <n v="31.5855"/>
    <n v="6.7"/>
  </r>
  <r>
    <s v="913-35-2841"/>
    <x v="0"/>
    <x v="1"/>
    <x v="0"/>
    <x v="0"/>
    <x v="2"/>
    <n v="70.19"/>
    <n v="9"/>
    <n v="31.5855"/>
    <x v="865"/>
    <x v="6"/>
    <x v="4"/>
    <x v="0"/>
    <n v="631.71"/>
    <n v="4.7619047620000003"/>
    <n v="31.5855"/>
    <n v="6.7"/>
  </r>
  <r>
    <s v="300-50-8722"/>
    <x v="0"/>
    <x v="0"/>
    <x v="0"/>
    <x v="0"/>
    <x v="0"/>
    <n v="70.19"/>
    <n v="9"/>
    <n v="31.5855"/>
    <x v="865"/>
    <x v="6"/>
    <x v="4"/>
    <x v="0"/>
    <n v="631.71"/>
    <n v="4.7619047620000003"/>
    <n v="31.5855"/>
    <n v="6.7"/>
  </r>
  <r>
    <s v="347-72-6115"/>
    <x v="0"/>
    <x v="1"/>
    <x v="0"/>
    <x v="1"/>
    <x v="0"/>
    <n v="90.74"/>
    <n v="7"/>
    <n v="31.759"/>
    <x v="866"/>
    <x v="30"/>
    <x v="113"/>
    <x v="0"/>
    <n v="635.17999999999995"/>
    <n v="4.7619047620000003"/>
    <n v="31.759"/>
    <n v="6.2"/>
  </r>
  <r>
    <s v="643-95-5552"/>
    <x v="2"/>
    <x v="1"/>
    <x v="0"/>
    <x v="0"/>
    <x v="0"/>
    <n v="90.74"/>
    <n v="7"/>
    <n v="31.759"/>
    <x v="866"/>
    <x v="30"/>
    <x v="113"/>
    <x v="2"/>
    <n v="635.17999999999995"/>
    <n v="4.7619047620000003"/>
    <n v="31.759"/>
    <n v="6.2"/>
  </r>
  <r>
    <s v="457-50-1412"/>
    <x v="0"/>
    <x v="1"/>
    <x v="0"/>
    <x v="1"/>
    <x v="2"/>
    <n v="90.74"/>
    <n v="7"/>
    <n v="31.759"/>
    <x v="866"/>
    <x v="30"/>
    <x v="113"/>
    <x v="0"/>
    <n v="635.17999999999995"/>
    <n v="4.7619047620000003"/>
    <n v="31.759"/>
    <n v="6.2"/>
  </r>
  <r>
    <s v="378-32-4548"/>
    <x v="2"/>
    <x v="0"/>
    <x v="0"/>
    <x v="0"/>
    <x v="0"/>
    <n v="90.74"/>
    <n v="7"/>
    <n v="31.759"/>
    <x v="866"/>
    <x v="30"/>
    <x v="113"/>
    <x v="2"/>
    <n v="635.17999999999995"/>
    <n v="4.7619047620000003"/>
    <n v="31.759"/>
    <n v="15.3"/>
  </r>
  <r>
    <s v="648-83-1321"/>
    <x v="0"/>
    <x v="2"/>
    <x v="0"/>
    <x v="0"/>
    <x v="3"/>
    <n v="63.56"/>
    <n v="10"/>
    <n v="31.78"/>
    <x v="867"/>
    <x v="30"/>
    <x v="133"/>
    <x v="0"/>
    <n v="635.6"/>
    <n v="4.7619047620000003"/>
    <n v="31.78"/>
    <n v="4.3"/>
  </r>
  <r>
    <s v="655-88-8719"/>
    <x v="0"/>
    <x v="0"/>
    <x v="0"/>
    <x v="0"/>
    <x v="3"/>
    <n v="63.56"/>
    <n v="10"/>
    <n v="31.78"/>
    <x v="867"/>
    <x v="30"/>
    <x v="133"/>
    <x v="0"/>
    <n v="635.6"/>
    <n v="4.7619047620000003"/>
    <n v="31.78"/>
    <n v="15.4"/>
  </r>
  <r>
    <s v="326-78-5178"/>
    <x v="0"/>
    <x v="0"/>
    <x v="0"/>
    <x v="0"/>
    <x v="2"/>
    <n v="91.4"/>
    <n v="7"/>
    <n v="31.99"/>
    <x v="868"/>
    <x v="52"/>
    <x v="477"/>
    <x v="0"/>
    <n v="639.79999999999995"/>
    <n v="4.7619047620000003"/>
    <n v="31.99"/>
    <n v="9.5"/>
  </r>
  <r>
    <s v="333-77-1425"/>
    <x v="0"/>
    <x v="0"/>
    <x v="0"/>
    <x v="0"/>
    <x v="2"/>
    <n v="91.4"/>
    <n v="7"/>
    <n v="31.99"/>
    <x v="868"/>
    <x v="52"/>
    <x v="477"/>
    <x v="0"/>
    <n v="639.79999999999995"/>
    <n v="4.7619047620000003"/>
    <n v="31.99"/>
    <n v="9.5"/>
  </r>
  <r>
    <s v="476-27-1395"/>
    <x v="0"/>
    <x v="0"/>
    <x v="0"/>
    <x v="0"/>
    <x v="2"/>
    <n v="91.4"/>
    <n v="7"/>
    <n v="31.99"/>
    <x v="868"/>
    <x v="52"/>
    <x v="477"/>
    <x v="0"/>
    <n v="639.79999999999995"/>
    <n v="4.7619047620000003"/>
    <n v="31.99"/>
    <n v="9.5"/>
  </r>
  <r>
    <s v="601-87-6719"/>
    <x v="0"/>
    <x v="0"/>
    <x v="0"/>
    <x v="0"/>
    <x v="2"/>
    <n v="91.4"/>
    <n v="7"/>
    <n v="31.99"/>
    <x v="868"/>
    <x v="52"/>
    <x v="477"/>
    <x v="0"/>
    <n v="639.79999999999995"/>
    <n v="4.7619047620000003"/>
    <n v="31.99"/>
    <n v="9.5"/>
  </r>
  <r>
    <s v="149-61-1929"/>
    <x v="0"/>
    <x v="2"/>
    <x v="1"/>
    <x v="0"/>
    <x v="0"/>
    <n v="64.19"/>
    <n v="10"/>
    <n v="32.094999999999999"/>
    <x v="869"/>
    <x v="35"/>
    <x v="425"/>
    <x v="0"/>
    <n v="641.9"/>
    <n v="4.7619047620000003"/>
    <n v="32.094999999999999"/>
    <n v="6.7"/>
  </r>
  <r>
    <s v="226-80-2032"/>
    <x v="1"/>
    <x v="2"/>
    <x v="1"/>
    <x v="0"/>
    <x v="0"/>
    <n v="64.19"/>
    <n v="10"/>
    <n v="32.094999999999999"/>
    <x v="869"/>
    <x v="35"/>
    <x v="425"/>
    <x v="2"/>
    <n v="641.9"/>
    <n v="4.7619047620000003"/>
    <n v="32.094999999999999"/>
    <n v="6.7"/>
  </r>
  <r>
    <s v="612-36-5536"/>
    <x v="1"/>
    <x v="1"/>
    <x v="0"/>
    <x v="0"/>
    <x v="2"/>
    <n v="80.959999999999994"/>
    <n v="8"/>
    <n v="32.384"/>
    <x v="870"/>
    <x v="58"/>
    <x v="478"/>
    <x v="2"/>
    <n v="647.67999999999995"/>
    <n v="4.7619047620000003"/>
    <n v="32.384"/>
    <n v="7.4"/>
  </r>
  <r>
    <s v="784-43-5569"/>
    <x v="1"/>
    <x v="2"/>
    <x v="0"/>
    <x v="0"/>
    <x v="2"/>
    <n v="80.959999999999994"/>
    <n v="8"/>
    <n v="32.384"/>
    <x v="870"/>
    <x v="58"/>
    <x v="478"/>
    <x v="2"/>
    <n v="647.67999999999995"/>
    <n v="4.7619047620000003"/>
    <n v="32.384"/>
    <n v="7.4"/>
  </r>
  <r>
    <s v="121-45-3617"/>
    <x v="1"/>
    <x v="1"/>
    <x v="0"/>
    <x v="0"/>
    <x v="2"/>
    <n v="80.959999999999994"/>
    <n v="8"/>
    <n v="32.384"/>
    <x v="870"/>
    <x v="58"/>
    <x v="478"/>
    <x v="2"/>
    <n v="647.67999999999995"/>
    <n v="4.7619047620000003"/>
    <n v="32.384"/>
    <n v="15.5"/>
  </r>
  <r>
    <s v="400-89-4171"/>
    <x v="0"/>
    <x v="0"/>
    <x v="1"/>
    <x v="0"/>
    <x v="0"/>
    <n v="80.97"/>
    <n v="8"/>
    <n v="32.387999999999998"/>
    <x v="871"/>
    <x v="12"/>
    <x v="295"/>
    <x v="0"/>
    <n v="647.76"/>
    <n v="4.7619047620000003"/>
    <n v="32.387999999999998"/>
    <n v="9.3000000000000007"/>
  </r>
  <r>
    <s v="802-38-1417"/>
    <x v="0"/>
    <x v="0"/>
    <x v="1"/>
    <x v="0"/>
    <x v="0"/>
    <n v="80.97"/>
    <n v="8"/>
    <n v="32.387999999999998"/>
    <x v="871"/>
    <x v="12"/>
    <x v="295"/>
    <x v="0"/>
    <n v="647.76"/>
    <n v="4.7619047620000003"/>
    <n v="32.387999999999998"/>
    <n v="9.3000000000000007"/>
  </r>
  <r>
    <s v="263-12-5321"/>
    <x v="1"/>
    <x v="1"/>
    <x v="0"/>
    <x v="0"/>
    <x v="5"/>
    <n v="92.6"/>
    <n v="7"/>
    <n v="32.409999999999997"/>
    <x v="872"/>
    <x v="46"/>
    <x v="396"/>
    <x v="2"/>
    <n v="648.20000000000005"/>
    <n v="4.7619047620000003"/>
    <n v="32.409999999999997"/>
    <n v="9.3000000000000007"/>
  </r>
  <r>
    <s v="832-13-3888"/>
    <x v="1"/>
    <x v="2"/>
    <x v="0"/>
    <x v="0"/>
    <x v="5"/>
    <n v="92.6"/>
    <n v="7"/>
    <n v="32.409999999999997"/>
    <x v="872"/>
    <x v="46"/>
    <x v="396"/>
    <x v="2"/>
    <n v="648.20000000000005"/>
    <n v="4.7619047620000003"/>
    <n v="32.409999999999997"/>
    <n v="9.3000000000000007"/>
  </r>
  <r>
    <s v="222-42-0244"/>
    <x v="2"/>
    <x v="1"/>
    <x v="0"/>
    <x v="1"/>
    <x v="4"/>
    <n v="72.11"/>
    <n v="9"/>
    <n v="32.4495"/>
    <x v="873"/>
    <x v="12"/>
    <x v="90"/>
    <x v="0"/>
    <n v="648.99"/>
    <n v="4.7619047620000003"/>
    <n v="32.4495"/>
    <n v="7.7"/>
  </r>
  <r>
    <s v="124-72-9102"/>
    <x v="0"/>
    <x v="0"/>
    <x v="1"/>
    <x v="0"/>
    <x v="5"/>
    <n v="64.95"/>
    <n v="10"/>
    <n v="32.475000000000001"/>
    <x v="874"/>
    <x v="73"/>
    <x v="132"/>
    <x v="0"/>
    <n v="649.5"/>
    <n v="4.7619047620000003"/>
    <n v="32.475000000000001"/>
    <n v="5.2"/>
  </r>
  <r>
    <s v="538-22-0304"/>
    <x v="0"/>
    <x v="1"/>
    <x v="1"/>
    <x v="0"/>
    <x v="5"/>
    <n v="64.95"/>
    <n v="10"/>
    <n v="32.475000000000001"/>
    <x v="874"/>
    <x v="73"/>
    <x v="132"/>
    <x v="0"/>
    <n v="649.5"/>
    <n v="4.7619047620000003"/>
    <n v="32.475000000000001"/>
    <n v="5.2"/>
  </r>
  <r>
    <s v="394-99-8220"/>
    <x v="2"/>
    <x v="1"/>
    <x v="1"/>
    <x v="0"/>
    <x v="1"/>
    <n v="65.23"/>
    <n v="10"/>
    <n v="32.615000000000002"/>
    <x v="875"/>
    <x v="3"/>
    <x v="104"/>
    <x v="0"/>
    <n v="652.29999999999995"/>
    <n v="4.7619047620000003"/>
    <n v="32.615000000000002"/>
    <n v="5.2"/>
  </r>
  <r>
    <s v="457-13-1708"/>
    <x v="2"/>
    <x v="1"/>
    <x v="0"/>
    <x v="0"/>
    <x v="1"/>
    <n v="65.23"/>
    <n v="10"/>
    <n v="32.615000000000002"/>
    <x v="875"/>
    <x v="3"/>
    <x v="104"/>
    <x v="2"/>
    <n v="652.29999999999995"/>
    <n v="4.7619047620000003"/>
    <n v="32.615000000000002"/>
    <n v="5.2"/>
  </r>
  <r>
    <s v="199-33-8759"/>
    <x v="0"/>
    <x v="1"/>
    <x v="1"/>
    <x v="0"/>
    <x v="1"/>
    <n v="65.23"/>
    <n v="10"/>
    <n v="32.615000000000002"/>
    <x v="875"/>
    <x v="3"/>
    <x v="104"/>
    <x v="0"/>
    <n v="652.29999999999995"/>
    <n v="4.7619047620000003"/>
    <n v="32.615000000000002"/>
    <n v="5.2"/>
  </r>
  <r>
    <s v="668-90-8900"/>
    <x v="1"/>
    <x v="2"/>
    <x v="1"/>
    <x v="0"/>
    <x v="3"/>
    <n v="93.69"/>
    <n v="7"/>
    <n v="32.791499999999999"/>
    <x v="876"/>
    <x v="20"/>
    <x v="290"/>
    <x v="2"/>
    <n v="655.83"/>
    <n v="4.7619047620000003"/>
    <n v="32.791499999999999"/>
    <n v="4.5"/>
  </r>
  <r>
    <s v="154-96-7728"/>
    <x v="1"/>
    <x v="0"/>
    <x v="1"/>
    <x v="0"/>
    <x v="3"/>
    <n v="93.69"/>
    <n v="7"/>
    <n v="32.791499999999999"/>
    <x v="876"/>
    <x v="20"/>
    <x v="290"/>
    <x v="2"/>
    <n v="655.83"/>
    <n v="4.7619047620000003"/>
    <n v="32.791499999999999"/>
    <n v="15.6"/>
  </r>
  <r>
    <s v="233-75-6722"/>
    <x v="0"/>
    <x v="0"/>
    <x v="0"/>
    <x v="0"/>
    <x v="2"/>
    <n v="72.88"/>
    <n v="9"/>
    <n v="32.795999999999999"/>
    <x v="877"/>
    <x v="3"/>
    <x v="248"/>
    <x v="0"/>
    <n v="655.92"/>
    <n v="4.7619047620000003"/>
    <n v="32.795999999999999"/>
    <n v="4"/>
  </r>
  <r>
    <s v="845-94-6841"/>
    <x v="0"/>
    <x v="1"/>
    <x v="0"/>
    <x v="1"/>
    <x v="2"/>
    <n v="72.88"/>
    <n v="9"/>
    <n v="32.795999999999999"/>
    <x v="877"/>
    <x v="3"/>
    <x v="248"/>
    <x v="0"/>
    <n v="655.92"/>
    <n v="4.7619047620000003"/>
    <n v="32.795999999999999"/>
    <n v="4"/>
  </r>
  <r>
    <s v="489-82-1237"/>
    <x v="1"/>
    <x v="2"/>
    <x v="1"/>
    <x v="1"/>
    <x v="5"/>
    <n v="93.88"/>
    <n v="7"/>
    <n v="32.857999999999997"/>
    <x v="878"/>
    <x v="32"/>
    <x v="327"/>
    <x v="0"/>
    <n v="657.16"/>
    <n v="4.7619047620000003"/>
    <n v="32.857999999999997"/>
    <n v="7.3"/>
  </r>
  <r>
    <s v="526-33-7821"/>
    <x v="1"/>
    <x v="2"/>
    <x v="1"/>
    <x v="0"/>
    <x v="5"/>
    <n v="93.88"/>
    <n v="7"/>
    <n v="32.857999999999997"/>
    <x v="878"/>
    <x v="32"/>
    <x v="327"/>
    <x v="2"/>
    <n v="657.16"/>
    <n v="4.7619047620000003"/>
    <n v="32.857999999999997"/>
    <n v="7.3"/>
  </r>
  <r>
    <s v="670-79-6321"/>
    <x v="0"/>
    <x v="1"/>
    <x v="0"/>
    <x v="1"/>
    <x v="3"/>
    <n v="94.59"/>
    <n v="7"/>
    <n v="33.106499999999997"/>
    <x v="879"/>
    <x v="77"/>
    <x v="160"/>
    <x v="0"/>
    <n v="662.13"/>
    <n v="4.7619047620000003"/>
    <n v="33.106499999999997"/>
    <n v="4.9000000000000004"/>
  </r>
  <r>
    <s v="937-30-6741"/>
    <x v="0"/>
    <x v="0"/>
    <x v="0"/>
    <x v="1"/>
    <x v="3"/>
    <n v="94.59"/>
    <n v="7"/>
    <n v="33.106499999999997"/>
    <x v="879"/>
    <x v="77"/>
    <x v="160"/>
    <x v="0"/>
    <n v="662.13"/>
    <n v="4.7619047620000003"/>
    <n v="33.106499999999997"/>
    <n v="15.7"/>
  </r>
  <r>
    <s v="430-60-3493"/>
    <x v="1"/>
    <x v="1"/>
    <x v="1"/>
    <x v="1"/>
    <x v="3"/>
    <n v="94.88"/>
    <n v="7"/>
    <n v="33.207999999999998"/>
    <x v="880"/>
    <x v="52"/>
    <x v="153"/>
    <x v="0"/>
    <n v="664.16"/>
    <n v="4.7619047620000003"/>
    <n v="33.207999999999998"/>
    <n v="4.2"/>
  </r>
  <r>
    <s v="251-22-3557"/>
    <x v="0"/>
    <x v="1"/>
    <x v="1"/>
    <x v="0"/>
    <x v="3"/>
    <n v="94.88"/>
    <n v="7"/>
    <n v="33.207999999999998"/>
    <x v="880"/>
    <x v="52"/>
    <x v="153"/>
    <x v="0"/>
    <n v="664.16"/>
    <n v="4.7619047620000003"/>
    <n v="33.207999999999998"/>
    <n v="4.2"/>
  </r>
  <r>
    <s v="188-55-0967"/>
    <x v="0"/>
    <x v="1"/>
    <x v="0"/>
    <x v="0"/>
    <x v="4"/>
    <n v="66.47"/>
    <n v="10"/>
    <n v="33.234999999999999"/>
    <x v="881"/>
    <x v="67"/>
    <x v="466"/>
    <x v="0"/>
    <n v="664.7"/>
    <n v="4.7619047620000003"/>
    <n v="33.234999999999999"/>
    <n v="5"/>
  </r>
  <r>
    <s v="441-32-3877"/>
    <x v="0"/>
    <x v="0"/>
    <x v="1"/>
    <x v="0"/>
    <x v="0"/>
    <n v="95.49"/>
    <n v="7"/>
    <n v="33.421500000000002"/>
    <x v="882"/>
    <x v="21"/>
    <x v="249"/>
    <x v="0"/>
    <n v="668.43"/>
    <n v="4.7619047620000003"/>
    <n v="33.421500000000002"/>
    <n v="8.6999999999999993"/>
  </r>
  <r>
    <s v="743-88-1662"/>
    <x v="0"/>
    <x v="1"/>
    <x v="1"/>
    <x v="0"/>
    <x v="0"/>
    <n v="95.49"/>
    <n v="7"/>
    <n v="33.421500000000002"/>
    <x v="882"/>
    <x v="21"/>
    <x v="249"/>
    <x v="1"/>
    <n v="668.43"/>
    <n v="4.7619047620000003"/>
    <n v="33.421500000000002"/>
    <n v="8.6999999999999993"/>
  </r>
  <r>
    <s v="454-62-9472"/>
    <x v="0"/>
    <x v="0"/>
    <x v="1"/>
    <x v="0"/>
    <x v="0"/>
    <n v="95.49"/>
    <n v="7"/>
    <n v="33.421500000000002"/>
    <x v="882"/>
    <x v="21"/>
    <x v="249"/>
    <x v="0"/>
    <n v="668.43"/>
    <n v="4.7619047620000003"/>
    <n v="33.421500000000002"/>
    <n v="8.6999999999999993"/>
  </r>
  <r>
    <s v="269-66-3649"/>
    <x v="2"/>
    <x v="1"/>
    <x v="1"/>
    <x v="0"/>
    <x v="1"/>
    <n v="95.54"/>
    <n v="7"/>
    <n v="33.439"/>
    <x v="883"/>
    <x v="8"/>
    <x v="424"/>
    <x v="2"/>
    <n v="668.78"/>
    <n v="4.7619047620000003"/>
    <n v="33.439"/>
    <n v="9.6"/>
  </r>
  <r>
    <s v="616-87-0016"/>
    <x v="0"/>
    <x v="1"/>
    <x v="1"/>
    <x v="0"/>
    <x v="1"/>
    <n v="95.54"/>
    <n v="7"/>
    <n v="33.439"/>
    <x v="883"/>
    <x v="8"/>
    <x v="424"/>
    <x v="2"/>
    <n v="668.78"/>
    <n v="4.7619047620000003"/>
    <n v="33.439"/>
    <n v="9.6"/>
  </r>
  <r>
    <s v="908-88-3425"/>
    <x v="0"/>
    <x v="1"/>
    <x v="1"/>
    <x v="0"/>
    <x v="1"/>
    <n v="95.54"/>
    <n v="7"/>
    <n v="33.439"/>
    <x v="883"/>
    <x v="8"/>
    <x v="424"/>
    <x v="2"/>
    <n v="668.78"/>
    <n v="4.7619047620000003"/>
    <n v="33.439"/>
    <n v="15.8"/>
  </r>
  <r>
    <s v="640-49-2076"/>
    <x v="2"/>
    <x v="1"/>
    <x v="1"/>
    <x v="0"/>
    <x v="0"/>
    <n v="83.78"/>
    <n v="8"/>
    <n v="33.512"/>
    <x v="884"/>
    <x v="56"/>
    <x v="125"/>
    <x v="0"/>
    <n v="670.24"/>
    <n v="4.7619047620000003"/>
    <n v="33.512"/>
    <n v="5.0999999999999996"/>
  </r>
  <r>
    <s v="203-91-2111"/>
    <x v="2"/>
    <x v="0"/>
    <x v="1"/>
    <x v="0"/>
    <x v="0"/>
    <n v="83.78"/>
    <n v="8"/>
    <n v="33.512"/>
    <x v="884"/>
    <x v="56"/>
    <x v="125"/>
    <x v="0"/>
    <n v="670.24"/>
    <n v="4.7619047620000003"/>
    <n v="33.512"/>
    <n v="15.9"/>
  </r>
  <r>
    <s v="287-21-9091"/>
    <x v="1"/>
    <x v="2"/>
    <x v="1"/>
    <x v="0"/>
    <x v="3"/>
    <n v="74.67"/>
    <n v="9"/>
    <n v="33.601500000000001"/>
    <x v="885"/>
    <x v="81"/>
    <x v="256"/>
    <x v="0"/>
    <n v="672.03"/>
    <n v="4.7619047620000003"/>
    <n v="33.601500000000001"/>
    <n v="9.4"/>
  </r>
  <r>
    <s v="137-10-9794"/>
    <x v="1"/>
    <x v="2"/>
    <x v="1"/>
    <x v="0"/>
    <x v="2"/>
    <n v="74.67"/>
    <n v="9"/>
    <n v="33.601500000000001"/>
    <x v="885"/>
    <x v="81"/>
    <x v="256"/>
    <x v="1"/>
    <n v="672.03"/>
    <n v="4.7619047620000003"/>
    <n v="33.601500000000001"/>
    <n v="9.4"/>
  </r>
  <r>
    <s v="443-59-0061"/>
    <x v="0"/>
    <x v="2"/>
    <x v="0"/>
    <x v="0"/>
    <x v="2"/>
    <n v="67.45"/>
    <n v="10"/>
    <n v="33.725000000000001"/>
    <x v="886"/>
    <x v="52"/>
    <x v="350"/>
    <x v="0"/>
    <n v="674.5"/>
    <n v="4.7619047620000003"/>
    <n v="33.725000000000001"/>
    <n v="4.2"/>
  </r>
  <r>
    <s v="504-48-2246"/>
    <x v="1"/>
    <x v="2"/>
    <x v="0"/>
    <x v="0"/>
    <x v="2"/>
    <n v="67.45"/>
    <n v="10"/>
    <n v="33.725000000000001"/>
    <x v="886"/>
    <x v="52"/>
    <x v="350"/>
    <x v="1"/>
    <n v="674.5"/>
    <n v="4.7619047620000003"/>
    <n v="33.725000000000001"/>
    <n v="4.2"/>
  </r>
  <r>
    <s v="374-57-9282"/>
    <x v="0"/>
    <x v="2"/>
    <x v="1"/>
    <x v="0"/>
    <x v="2"/>
    <n v="67.45"/>
    <n v="10"/>
    <n v="33.725000000000001"/>
    <x v="886"/>
    <x v="52"/>
    <x v="350"/>
    <x v="0"/>
    <n v="674.5"/>
    <n v="4.7619047620000003"/>
    <n v="33.725000000000001"/>
    <n v="4.2"/>
  </r>
  <r>
    <s v="189-40-5216"/>
    <x v="0"/>
    <x v="1"/>
    <x v="1"/>
    <x v="0"/>
    <x v="5"/>
    <n v="96.37"/>
    <n v="7"/>
    <n v="33.729500000000002"/>
    <x v="887"/>
    <x v="62"/>
    <x v="88"/>
    <x v="0"/>
    <n v="674.59"/>
    <n v="4.7619047620000003"/>
    <n v="33.729500000000002"/>
    <n v="6"/>
  </r>
  <r>
    <s v="675-62-2901"/>
    <x v="0"/>
    <x v="0"/>
    <x v="1"/>
    <x v="0"/>
    <x v="5"/>
    <n v="96.37"/>
    <n v="7"/>
    <n v="33.729500000000002"/>
    <x v="887"/>
    <x v="62"/>
    <x v="88"/>
    <x v="0"/>
    <n v="674.59"/>
    <n v="4.7619047620000003"/>
    <n v="33.729500000000002"/>
    <n v="6"/>
  </r>
  <r>
    <s v="610-19-6251"/>
    <x v="0"/>
    <x v="0"/>
    <x v="1"/>
    <x v="0"/>
    <x v="5"/>
    <n v="96.37"/>
    <n v="7"/>
    <n v="33.729500000000002"/>
    <x v="887"/>
    <x v="62"/>
    <x v="88"/>
    <x v="0"/>
    <n v="674.59"/>
    <n v="4.7619047620000003"/>
    <n v="33.729500000000002"/>
    <n v="16"/>
  </r>
  <r>
    <s v="850-41-9669"/>
    <x v="1"/>
    <x v="1"/>
    <x v="1"/>
    <x v="0"/>
    <x v="2"/>
    <n v="75.06"/>
    <n v="9"/>
    <n v="33.777000000000001"/>
    <x v="888"/>
    <x v="7"/>
    <x v="479"/>
    <x v="1"/>
    <n v="675.54"/>
    <n v="4.7619047620000003"/>
    <n v="33.777000000000001"/>
    <n v="6.2"/>
  </r>
  <r>
    <s v="874-63-9329"/>
    <x v="1"/>
    <x v="1"/>
    <x v="1"/>
    <x v="0"/>
    <x v="2"/>
    <n v="75.06"/>
    <n v="9"/>
    <n v="33.777000000000001"/>
    <x v="888"/>
    <x v="7"/>
    <x v="479"/>
    <x v="1"/>
    <n v="675.54"/>
    <n v="4.7619047620000003"/>
    <n v="33.777000000000001"/>
    <n v="6.2"/>
  </r>
  <r>
    <s v="474-94-2357"/>
    <x v="2"/>
    <x v="1"/>
    <x v="0"/>
    <x v="0"/>
    <x v="5"/>
    <n v="75.59"/>
    <n v="9"/>
    <n v="34.015500000000003"/>
    <x v="889"/>
    <x v="36"/>
    <x v="478"/>
    <x v="0"/>
    <n v="680.31"/>
    <n v="4.7619047620000003"/>
    <n v="34.015500000000003"/>
    <n v="8"/>
  </r>
  <r>
    <s v="831-81-6575"/>
    <x v="2"/>
    <x v="1"/>
    <x v="0"/>
    <x v="1"/>
    <x v="5"/>
    <n v="75.59"/>
    <n v="9"/>
    <n v="34.015500000000003"/>
    <x v="889"/>
    <x v="36"/>
    <x v="478"/>
    <x v="0"/>
    <n v="680.31"/>
    <n v="4.7619047620000003"/>
    <n v="34.015500000000003"/>
    <n v="8"/>
  </r>
  <r>
    <s v="367-63-8614"/>
    <x v="0"/>
    <x v="0"/>
    <x v="0"/>
    <x v="0"/>
    <x v="1"/>
    <n v="97.79"/>
    <n v="7"/>
    <n v="34.226500000000001"/>
    <x v="890"/>
    <x v="59"/>
    <x v="480"/>
    <x v="0"/>
    <n v="684.53"/>
    <n v="4.7619047620000003"/>
    <n v="34.226500000000001"/>
    <n v="4.9000000000000004"/>
  </r>
  <r>
    <s v="587-03-7455"/>
    <x v="0"/>
    <x v="0"/>
    <x v="0"/>
    <x v="1"/>
    <x v="1"/>
    <n v="97.79"/>
    <n v="7"/>
    <n v="34.226500000000001"/>
    <x v="890"/>
    <x v="59"/>
    <x v="480"/>
    <x v="1"/>
    <n v="684.53"/>
    <n v="4.7619047620000003"/>
    <n v="34.226500000000001"/>
    <n v="4.9000000000000004"/>
  </r>
  <r>
    <s v="911-85-1975"/>
    <x v="0"/>
    <x v="0"/>
    <x v="0"/>
    <x v="0"/>
    <x v="2"/>
    <n v="97.79"/>
    <n v="7"/>
    <n v="34.226500000000001"/>
    <x v="890"/>
    <x v="59"/>
    <x v="480"/>
    <x v="0"/>
    <n v="684.53"/>
    <n v="4.7619047620000003"/>
    <n v="34.226500000000001"/>
    <n v="4.9000000000000004"/>
  </r>
  <r>
    <s v="338-65-2210"/>
    <x v="0"/>
    <x v="0"/>
    <x v="0"/>
    <x v="0"/>
    <x v="4"/>
    <n v="68.599999999999994"/>
    <n v="10"/>
    <n v="34.299999999999997"/>
    <x v="891"/>
    <x v="28"/>
    <x v="277"/>
    <x v="0"/>
    <n v="686"/>
    <n v="4.7619047620000003"/>
    <n v="34.299999999999997"/>
    <n v="9.1"/>
  </r>
  <r>
    <s v="450-16-5092"/>
    <x v="0"/>
    <x v="0"/>
    <x v="0"/>
    <x v="0"/>
    <x v="2"/>
    <n v="68.599999999999994"/>
    <n v="10"/>
    <n v="34.299999999999997"/>
    <x v="891"/>
    <x v="28"/>
    <x v="277"/>
    <x v="0"/>
    <n v="686"/>
    <n v="4.7619047620000003"/>
    <n v="34.299999999999997"/>
    <n v="9.1"/>
  </r>
  <r>
    <s v="898-04-2717"/>
    <x v="1"/>
    <x v="1"/>
    <x v="1"/>
    <x v="0"/>
    <x v="2"/>
    <n v="76.400000000000006"/>
    <n v="9"/>
    <n v="34.380000000000003"/>
    <x v="892"/>
    <x v="7"/>
    <x v="481"/>
    <x v="1"/>
    <n v="687.6"/>
    <n v="4.7619047620000003"/>
    <n v="34.380000000000003"/>
    <n v="7.5"/>
  </r>
  <r>
    <s v="399-46-5918"/>
    <x v="0"/>
    <x v="0"/>
    <x v="1"/>
    <x v="0"/>
    <x v="5"/>
    <n v="85.98"/>
    <n v="8"/>
    <n v="34.392000000000003"/>
    <x v="893"/>
    <x v="60"/>
    <x v="253"/>
    <x v="0"/>
    <n v="687.84"/>
    <n v="4.7619047620000003"/>
    <n v="34.392000000000003"/>
    <n v="8.1999999999999993"/>
  </r>
  <r>
    <s v="644-11-6134"/>
    <x v="0"/>
    <x v="0"/>
    <x v="1"/>
    <x v="0"/>
    <x v="5"/>
    <n v="85.98"/>
    <n v="8"/>
    <n v="34.392000000000003"/>
    <x v="893"/>
    <x v="60"/>
    <x v="253"/>
    <x v="0"/>
    <n v="687.84"/>
    <n v="4.7619047620000003"/>
    <n v="34.392000000000003"/>
    <n v="8.1999999999999993"/>
  </r>
  <r>
    <s v="292-51-1813"/>
    <x v="0"/>
    <x v="0"/>
    <x v="1"/>
    <x v="0"/>
    <x v="5"/>
    <n v="85.98"/>
    <n v="8"/>
    <n v="34.392000000000003"/>
    <x v="893"/>
    <x v="60"/>
    <x v="253"/>
    <x v="0"/>
    <n v="687.84"/>
    <n v="4.7619047620000003"/>
    <n v="34.392000000000003"/>
    <n v="8.1999999999999993"/>
  </r>
  <r>
    <s v="528-85-5802"/>
    <x v="0"/>
    <x v="0"/>
    <x v="1"/>
    <x v="0"/>
    <x v="5"/>
    <n v="85.98"/>
    <n v="8"/>
    <n v="34.392000000000003"/>
    <x v="893"/>
    <x v="60"/>
    <x v="253"/>
    <x v="0"/>
    <n v="687.84"/>
    <n v="4.7619047620000003"/>
    <n v="34.392000000000003"/>
    <n v="16.100000000000001"/>
  </r>
  <r>
    <s v="253-12-6086"/>
    <x v="1"/>
    <x v="1"/>
    <x v="0"/>
    <x v="0"/>
    <x v="0"/>
    <n v="98.4"/>
    <n v="7"/>
    <n v="34.44"/>
    <x v="894"/>
    <x v="31"/>
    <x v="14"/>
    <x v="2"/>
    <n v="688.8"/>
    <n v="4.7619047620000003"/>
    <n v="34.44"/>
    <n v="8.6999999999999993"/>
  </r>
  <r>
    <s v="125-83-7399"/>
    <x v="1"/>
    <x v="2"/>
    <x v="0"/>
    <x v="0"/>
    <x v="1"/>
    <n v="86.68"/>
    <n v="8"/>
    <n v="34.671999999999997"/>
    <x v="895"/>
    <x v="61"/>
    <x v="342"/>
    <x v="0"/>
    <n v="693.44"/>
    <n v="4.7619047620000003"/>
    <n v="34.671999999999997"/>
    <n v="7.2"/>
  </r>
  <r>
    <s v="435-13-4908"/>
    <x v="0"/>
    <x v="2"/>
    <x v="0"/>
    <x v="0"/>
    <x v="1"/>
    <n v="86.68"/>
    <n v="8"/>
    <n v="34.671999999999997"/>
    <x v="895"/>
    <x v="61"/>
    <x v="342"/>
    <x v="0"/>
    <n v="693.44"/>
    <n v="4.7619047620000003"/>
    <n v="34.671999999999997"/>
    <n v="7.2"/>
  </r>
  <r>
    <s v="372-63-1031"/>
    <x v="0"/>
    <x v="2"/>
    <x v="0"/>
    <x v="0"/>
    <x v="1"/>
    <n v="86.68"/>
    <n v="8"/>
    <n v="34.671999999999997"/>
    <x v="895"/>
    <x v="61"/>
    <x v="342"/>
    <x v="0"/>
    <n v="693.44"/>
    <n v="4.7619047620000003"/>
    <n v="34.671999999999997"/>
    <n v="7.2"/>
  </r>
  <r>
    <s v="125-53-3203"/>
    <x v="2"/>
    <x v="1"/>
    <x v="0"/>
    <x v="1"/>
    <x v="2"/>
    <n v="77.400000000000006"/>
    <n v="9"/>
    <n v="34.83"/>
    <x v="896"/>
    <x v="74"/>
    <x v="0"/>
    <x v="2"/>
    <n v="696.6"/>
    <n v="4.7619047620000003"/>
    <n v="34.83"/>
    <n v="4.5"/>
  </r>
  <r>
    <s v="710-46-4433"/>
    <x v="0"/>
    <x v="1"/>
    <x v="0"/>
    <x v="1"/>
    <x v="2"/>
    <n v="77.400000000000006"/>
    <n v="9"/>
    <n v="34.83"/>
    <x v="896"/>
    <x v="74"/>
    <x v="0"/>
    <x v="2"/>
    <n v="696.6"/>
    <n v="4.7619047620000003"/>
    <n v="34.83"/>
    <n v="4.5"/>
  </r>
  <r>
    <s v="143-67-9444"/>
    <x v="1"/>
    <x v="2"/>
    <x v="1"/>
    <x v="0"/>
    <x v="5"/>
    <n v="99.55"/>
    <n v="7"/>
    <n v="34.842500000000001"/>
    <x v="897"/>
    <x v="45"/>
    <x v="215"/>
    <x v="0"/>
    <n v="696.85"/>
    <n v="4.7619047620000003"/>
    <n v="34.842500000000001"/>
    <n v="7.6"/>
  </r>
  <r>
    <s v="189-52-0236"/>
    <x v="0"/>
    <x v="2"/>
    <x v="1"/>
    <x v="0"/>
    <x v="5"/>
    <n v="99.55"/>
    <n v="7"/>
    <n v="34.842500000000001"/>
    <x v="897"/>
    <x v="45"/>
    <x v="215"/>
    <x v="0"/>
    <n v="696.85"/>
    <n v="4.7619047620000003"/>
    <n v="34.842500000000001"/>
    <n v="7.6"/>
  </r>
  <r>
    <s v="174-64-0215"/>
    <x v="2"/>
    <x v="1"/>
    <x v="1"/>
    <x v="0"/>
    <x v="0"/>
    <n v="69.739999999999995"/>
    <n v="10"/>
    <n v="34.869999999999997"/>
    <x v="898"/>
    <x v="53"/>
    <x v="71"/>
    <x v="2"/>
    <n v="697.4"/>
    <n v="4.7619047620000003"/>
    <n v="34.869999999999997"/>
    <n v="8.9"/>
  </r>
  <r>
    <s v="289-39-6453"/>
    <x v="2"/>
    <x v="1"/>
    <x v="1"/>
    <x v="0"/>
    <x v="0"/>
    <n v="69.739999999999995"/>
    <n v="10"/>
    <n v="34.869999999999997"/>
    <x v="898"/>
    <x v="53"/>
    <x v="71"/>
    <x v="0"/>
    <n v="697.4"/>
    <n v="4.7619047620000003"/>
    <n v="34.869999999999997"/>
    <n v="8.9"/>
  </r>
  <r>
    <s v="129-79-3771"/>
    <x v="1"/>
    <x v="1"/>
    <x v="1"/>
    <x v="0"/>
    <x v="2"/>
    <n v="69.739999999999995"/>
    <n v="10"/>
    <n v="34.869999999999997"/>
    <x v="898"/>
    <x v="53"/>
    <x v="71"/>
    <x v="1"/>
    <n v="697.4"/>
    <n v="4.7619047620000003"/>
    <n v="34.869999999999997"/>
    <n v="8.9"/>
  </r>
  <r>
    <s v="183-21-3799"/>
    <x v="0"/>
    <x v="0"/>
    <x v="1"/>
    <x v="1"/>
    <x v="5"/>
    <n v="77.63"/>
    <n v="9"/>
    <n v="34.933500000000002"/>
    <x v="899"/>
    <x v="87"/>
    <x v="482"/>
    <x v="1"/>
    <n v="698.67"/>
    <n v="4.7619047620000003"/>
    <n v="34.933500000000002"/>
    <n v="7.2"/>
  </r>
  <r>
    <s v="716-51-4764"/>
    <x v="0"/>
    <x v="0"/>
    <x v="1"/>
    <x v="0"/>
    <x v="5"/>
    <n v="77.63"/>
    <n v="9"/>
    <n v="34.933500000000002"/>
    <x v="899"/>
    <x v="87"/>
    <x v="482"/>
    <x v="1"/>
    <n v="698.67"/>
    <n v="4.7619047620000003"/>
    <n v="34.933500000000002"/>
    <n v="7.2"/>
  </r>
  <r>
    <s v="627-95-3243"/>
    <x v="0"/>
    <x v="1"/>
    <x v="0"/>
    <x v="1"/>
    <x v="3"/>
    <n v="77.680000000000007"/>
    <n v="9"/>
    <n v="34.956000000000003"/>
    <x v="900"/>
    <x v="4"/>
    <x v="197"/>
    <x v="0"/>
    <n v="699.12"/>
    <n v="4.7619047620000003"/>
    <n v="34.956000000000003"/>
    <n v="9.8000000000000007"/>
  </r>
  <r>
    <s v="418-50-9432"/>
    <x v="0"/>
    <x v="0"/>
    <x v="0"/>
    <x v="1"/>
    <x v="3"/>
    <n v="77.680000000000007"/>
    <n v="9"/>
    <n v="34.956000000000003"/>
    <x v="900"/>
    <x v="4"/>
    <x v="197"/>
    <x v="0"/>
    <n v="699.12"/>
    <n v="4.7619047620000003"/>
    <n v="34.956000000000003"/>
    <n v="16.2"/>
  </r>
  <r>
    <s v="148-41-7930"/>
    <x v="0"/>
    <x v="1"/>
    <x v="1"/>
    <x v="0"/>
    <x v="4"/>
    <n v="99.96"/>
    <n v="7"/>
    <n v="34.985999999999997"/>
    <x v="901"/>
    <x v="27"/>
    <x v="284"/>
    <x v="0"/>
    <n v="699.72"/>
    <n v="4.7619047620000003"/>
    <n v="34.985999999999997"/>
    <n v="6.1"/>
  </r>
  <r>
    <s v="135-84-8019"/>
    <x v="1"/>
    <x v="1"/>
    <x v="1"/>
    <x v="1"/>
    <x v="1"/>
    <n v="77.930000000000007"/>
    <n v="9"/>
    <n v="35.0685"/>
    <x v="902"/>
    <x v="46"/>
    <x v="273"/>
    <x v="1"/>
    <n v="701.37"/>
    <n v="4.7619047620000003"/>
    <n v="35.0685"/>
    <n v="7.6"/>
  </r>
  <r>
    <s v="149-71-6266"/>
    <x v="2"/>
    <x v="1"/>
    <x v="0"/>
    <x v="0"/>
    <x v="0"/>
    <n v="78.069999999999993"/>
    <n v="9"/>
    <n v="35.131500000000003"/>
    <x v="903"/>
    <x v="12"/>
    <x v="14"/>
    <x v="0"/>
    <n v="702.63"/>
    <n v="4.7619047620000003"/>
    <n v="35.131500000000003"/>
    <n v="4.5"/>
  </r>
  <r>
    <s v="189-98-2939"/>
    <x v="0"/>
    <x v="0"/>
    <x v="1"/>
    <x v="0"/>
    <x v="1"/>
    <n v="78.55"/>
    <n v="9"/>
    <n v="35.347499999999997"/>
    <x v="904"/>
    <x v="47"/>
    <x v="37"/>
    <x v="0"/>
    <n v="706.95"/>
    <n v="4.7619047620000003"/>
    <n v="35.347499999999997"/>
    <n v="7.2"/>
  </r>
  <r>
    <s v="394-30-3170"/>
    <x v="0"/>
    <x v="1"/>
    <x v="0"/>
    <x v="1"/>
    <x v="0"/>
    <n v="88.43"/>
    <n v="8"/>
    <n v="35.372"/>
    <x v="905"/>
    <x v="10"/>
    <x v="108"/>
    <x v="0"/>
    <n v="707.44"/>
    <n v="4.7619047620000003"/>
    <n v="35.372"/>
    <n v="4.3"/>
  </r>
  <r>
    <s v="964-42-8346"/>
    <x v="2"/>
    <x v="1"/>
    <x v="0"/>
    <x v="0"/>
    <x v="2"/>
    <n v="88.43"/>
    <n v="8"/>
    <n v="35.372"/>
    <x v="905"/>
    <x v="10"/>
    <x v="108"/>
    <x v="2"/>
    <n v="707.44"/>
    <n v="4.7619047620000003"/>
    <n v="35.372"/>
    <n v="4.3"/>
  </r>
  <r>
    <s v="779-32-7589"/>
    <x v="0"/>
    <x v="1"/>
    <x v="0"/>
    <x v="0"/>
    <x v="0"/>
    <n v="88.43"/>
    <n v="8"/>
    <n v="35.372"/>
    <x v="905"/>
    <x v="10"/>
    <x v="108"/>
    <x v="0"/>
    <n v="707.44"/>
    <n v="4.7619047620000003"/>
    <n v="35.372"/>
    <n v="4.3"/>
  </r>
  <r>
    <s v="137-28-9518"/>
    <x v="0"/>
    <x v="0"/>
    <x v="0"/>
    <x v="0"/>
    <x v="5"/>
    <n v="88.55"/>
    <n v="8"/>
    <n v="35.42"/>
    <x v="906"/>
    <x v="7"/>
    <x v="127"/>
    <x v="1"/>
    <n v="708.4"/>
    <n v="4.7619047620000003"/>
    <n v="35.42"/>
    <n v="4.7"/>
  </r>
  <r>
    <s v="155-45-3814"/>
    <x v="0"/>
    <x v="0"/>
    <x v="0"/>
    <x v="1"/>
    <x v="5"/>
    <n v="88.55"/>
    <n v="8"/>
    <n v="35.42"/>
    <x v="906"/>
    <x v="7"/>
    <x v="127"/>
    <x v="0"/>
    <n v="708.4"/>
    <n v="4.7619047620000003"/>
    <n v="35.42"/>
    <n v="4.7"/>
  </r>
  <r>
    <s v="537-72-0426"/>
    <x v="0"/>
    <x v="1"/>
    <x v="0"/>
    <x v="0"/>
    <x v="1"/>
    <n v="70.989999999999995"/>
    <n v="10"/>
    <n v="35.494999999999997"/>
    <x v="907"/>
    <x v="34"/>
    <x v="181"/>
    <x v="0"/>
    <n v="709.9"/>
    <n v="4.7619047620000003"/>
    <n v="35.494999999999997"/>
    <n v="5.7"/>
  </r>
  <r>
    <s v="803-17-8013"/>
    <x v="1"/>
    <x v="1"/>
    <x v="1"/>
    <x v="1"/>
    <x v="3"/>
    <n v="88.79"/>
    <n v="8"/>
    <n v="35.515999999999998"/>
    <x v="908"/>
    <x v="58"/>
    <x v="483"/>
    <x v="0"/>
    <n v="710.32"/>
    <n v="4.7619047620000003"/>
    <n v="35.515999999999998"/>
    <n v="4.0999999999999996"/>
  </r>
  <r>
    <s v="829-34-3910"/>
    <x v="1"/>
    <x v="2"/>
    <x v="1"/>
    <x v="1"/>
    <x v="4"/>
    <n v="71.38"/>
    <n v="10"/>
    <n v="35.69"/>
    <x v="909"/>
    <x v="86"/>
    <x v="484"/>
    <x v="0"/>
    <n v="713.8"/>
    <n v="4.7619047620000003"/>
    <n v="35.69"/>
    <n v="5.7"/>
  </r>
  <r>
    <s v="725-96-3778"/>
    <x v="0"/>
    <x v="1"/>
    <x v="1"/>
    <x v="1"/>
    <x v="3"/>
    <n v="89.25"/>
    <n v="8"/>
    <n v="35.700000000000003"/>
    <x v="910"/>
    <x v="84"/>
    <x v="21"/>
    <x v="0"/>
    <n v="714"/>
    <n v="4.7619047620000003"/>
    <n v="35.700000000000003"/>
    <n v="4.7"/>
  </r>
  <r>
    <s v="635-40-6220"/>
    <x v="1"/>
    <x v="2"/>
    <x v="1"/>
    <x v="0"/>
    <x v="4"/>
    <n v="89.6"/>
    <n v="8"/>
    <n v="35.840000000000003"/>
    <x v="911"/>
    <x v="0"/>
    <x v="461"/>
    <x v="1"/>
    <n v="716.8"/>
    <n v="4.7619047620000003"/>
    <n v="35.840000000000003"/>
    <n v="6.6"/>
  </r>
  <r>
    <s v="896-68-2207"/>
    <x v="1"/>
    <x v="0"/>
    <x v="1"/>
    <x v="0"/>
    <x v="4"/>
    <n v="89.6"/>
    <n v="8"/>
    <n v="35.840000000000003"/>
    <x v="911"/>
    <x v="0"/>
    <x v="461"/>
    <x v="1"/>
    <n v="716.8"/>
    <n v="4.7619047620000003"/>
    <n v="35.840000000000003"/>
    <n v="16.3"/>
  </r>
  <r>
    <s v="448-61-3783"/>
    <x v="1"/>
    <x v="1"/>
    <x v="1"/>
    <x v="1"/>
    <x v="5"/>
    <n v="90.02"/>
    <n v="8"/>
    <n v="36.008000000000003"/>
    <x v="912"/>
    <x v="78"/>
    <x v="140"/>
    <x v="0"/>
    <n v="720.16"/>
    <n v="4.7619047620000003"/>
    <n v="36.008000000000003"/>
    <n v="4.5"/>
  </r>
  <r>
    <s v="545-20-6804"/>
    <x v="1"/>
    <x v="2"/>
    <x v="1"/>
    <x v="0"/>
    <x v="5"/>
    <n v="90.02"/>
    <n v="8"/>
    <n v="36.008000000000003"/>
    <x v="912"/>
    <x v="78"/>
    <x v="140"/>
    <x v="2"/>
    <n v="720.16"/>
    <n v="4.7619047620000003"/>
    <n v="36.008000000000003"/>
    <n v="4.5"/>
  </r>
  <r>
    <s v="235-56-4202"/>
    <x v="0"/>
    <x v="1"/>
    <x v="1"/>
    <x v="1"/>
    <x v="5"/>
    <n v="90.02"/>
    <n v="8"/>
    <n v="36.008000000000003"/>
    <x v="912"/>
    <x v="78"/>
    <x v="140"/>
    <x v="0"/>
    <n v="720.16"/>
    <n v="4.7619047620000003"/>
    <n v="36.008000000000003"/>
    <n v="4.5"/>
  </r>
  <r>
    <s v="674-55-8190"/>
    <x v="0"/>
    <x v="1"/>
    <x v="1"/>
    <x v="0"/>
    <x v="2"/>
    <n v="90.02"/>
    <n v="8"/>
    <n v="36.008000000000003"/>
    <x v="912"/>
    <x v="78"/>
    <x v="140"/>
    <x v="0"/>
    <n v="720.16"/>
    <n v="4.7619047620000003"/>
    <n v="36.008000000000003"/>
    <n v="4.5"/>
  </r>
  <r>
    <s v="153-55-3221"/>
    <x v="2"/>
    <x v="1"/>
    <x v="1"/>
    <x v="0"/>
    <x v="5"/>
    <n v="72.13"/>
    <n v="10"/>
    <n v="36.064999999999998"/>
    <x v="913"/>
    <x v="63"/>
    <x v="485"/>
    <x v="2"/>
    <n v="721.3"/>
    <n v="4.7619047620000003"/>
    <n v="36.064999999999998"/>
    <n v="4.2"/>
  </r>
  <r>
    <s v="525-09-8450"/>
    <x v="2"/>
    <x v="1"/>
    <x v="1"/>
    <x v="0"/>
    <x v="5"/>
    <n v="72.13"/>
    <n v="10"/>
    <n v="36.064999999999998"/>
    <x v="913"/>
    <x v="63"/>
    <x v="485"/>
    <x v="2"/>
    <n v="721.3"/>
    <n v="4.7619047620000003"/>
    <n v="36.064999999999998"/>
    <n v="4.2"/>
  </r>
  <r>
    <s v="817-48-8732"/>
    <x v="1"/>
    <x v="2"/>
    <x v="0"/>
    <x v="0"/>
    <x v="3"/>
    <n v="72.349999999999994"/>
    <n v="10"/>
    <n v="36.174999999999997"/>
    <x v="914"/>
    <x v="84"/>
    <x v="368"/>
    <x v="0"/>
    <n v="723.5"/>
    <n v="4.7619047620000003"/>
    <n v="36.174999999999997"/>
    <n v="5.4"/>
  </r>
  <r>
    <s v="729-06-2010"/>
    <x v="0"/>
    <x v="1"/>
    <x v="0"/>
    <x v="0"/>
    <x v="4"/>
    <n v="80.47"/>
    <n v="9"/>
    <n v="36.211500000000001"/>
    <x v="915"/>
    <x v="5"/>
    <x v="486"/>
    <x v="0"/>
    <n v="724.23"/>
    <n v="4.7619047620000003"/>
    <n v="36.211500000000001"/>
    <n v="9.1999999999999993"/>
  </r>
  <r>
    <s v="361-59-0574"/>
    <x v="2"/>
    <x v="1"/>
    <x v="0"/>
    <x v="0"/>
    <x v="0"/>
    <n v="90.53"/>
    <n v="8"/>
    <n v="36.212000000000003"/>
    <x v="916"/>
    <x v="54"/>
    <x v="487"/>
    <x v="0"/>
    <n v="724.24"/>
    <n v="4.7619047620000003"/>
    <n v="36.212000000000003"/>
    <n v="6.5"/>
  </r>
  <r>
    <s v="928-40-3169"/>
    <x v="2"/>
    <x v="1"/>
    <x v="0"/>
    <x v="0"/>
    <x v="2"/>
    <n v="90.53"/>
    <n v="8"/>
    <n v="36.212000000000003"/>
    <x v="916"/>
    <x v="54"/>
    <x v="487"/>
    <x v="2"/>
    <n v="724.24"/>
    <n v="4.7619047620000003"/>
    <n v="36.212000000000003"/>
    <n v="6.5"/>
  </r>
  <r>
    <s v="762-12-2196"/>
    <x v="0"/>
    <x v="1"/>
    <x v="0"/>
    <x v="0"/>
    <x v="2"/>
    <n v="90.53"/>
    <n v="8"/>
    <n v="36.212000000000003"/>
    <x v="916"/>
    <x v="54"/>
    <x v="487"/>
    <x v="0"/>
    <n v="724.24"/>
    <n v="4.7619047620000003"/>
    <n v="36.212000000000003"/>
    <n v="6.5"/>
  </r>
  <r>
    <s v="237-01-6122"/>
    <x v="0"/>
    <x v="0"/>
    <x v="0"/>
    <x v="0"/>
    <x v="3"/>
    <n v="80.790000000000006"/>
    <n v="9"/>
    <n v="36.355499999999999"/>
    <x v="917"/>
    <x v="71"/>
    <x v="281"/>
    <x v="2"/>
    <n v="727.11"/>
    <n v="4.7619047620000003"/>
    <n v="36.355499999999999"/>
    <n v="9.5"/>
  </r>
  <r>
    <s v="742-04-5161"/>
    <x v="0"/>
    <x v="2"/>
    <x v="0"/>
    <x v="0"/>
    <x v="3"/>
    <n v="72.78"/>
    <n v="10"/>
    <n v="36.39"/>
    <x v="918"/>
    <x v="52"/>
    <x v="103"/>
    <x v="0"/>
    <n v="727.8"/>
    <n v="4.7619047620000003"/>
    <n v="36.39"/>
    <n v="7.3"/>
  </r>
  <r>
    <s v="234-03-4040"/>
    <x v="0"/>
    <x v="1"/>
    <x v="0"/>
    <x v="1"/>
    <x v="2"/>
    <n v="73.05"/>
    <n v="10"/>
    <n v="36.524999999999999"/>
    <x v="919"/>
    <x v="18"/>
    <x v="351"/>
    <x v="2"/>
    <n v="730.5"/>
    <n v="4.7619047620000003"/>
    <n v="36.524999999999999"/>
    <n v="8.6999999999999993"/>
  </r>
  <r>
    <s v="305-18-3157"/>
    <x v="2"/>
    <x v="1"/>
    <x v="0"/>
    <x v="1"/>
    <x v="2"/>
    <n v="73.05"/>
    <n v="10"/>
    <n v="36.524999999999999"/>
    <x v="919"/>
    <x v="18"/>
    <x v="351"/>
    <x v="0"/>
    <n v="730.5"/>
    <n v="4.7619047620000003"/>
    <n v="36.524999999999999"/>
    <n v="8.6999999999999993"/>
  </r>
  <r>
    <s v="397-85-3722"/>
    <x v="1"/>
    <x v="1"/>
    <x v="0"/>
    <x v="1"/>
    <x v="2"/>
    <n v="73.05"/>
    <n v="10"/>
    <n v="36.524999999999999"/>
    <x v="919"/>
    <x v="18"/>
    <x v="351"/>
    <x v="0"/>
    <n v="730.5"/>
    <n v="4.7619047620000003"/>
    <n v="36.524999999999999"/>
    <n v="8.6999999999999993"/>
  </r>
  <r>
    <s v="197-77-7132"/>
    <x v="2"/>
    <x v="1"/>
    <x v="0"/>
    <x v="0"/>
    <x v="5"/>
    <n v="91.56"/>
    <n v="8"/>
    <n v="36.624000000000002"/>
    <x v="920"/>
    <x v="22"/>
    <x v="407"/>
    <x v="1"/>
    <n v="732.48"/>
    <n v="4.7619047620000003"/>
    <n v="36.624000000000002"/>
    <n v="6"/>
  </r>
  <r>
    <s v="250-14-6778"/>
    <x v="2"/>
    <x v="1"/>
    <x v="0"/>
    <x v="0"/>
    <x v="5"/>
    <n v="91.56"/>
    <n v="8"/>
    <n v="36.624000000000002"/>
    <x v="920"/>
    <x v="22"/>
    <x v="407"/>
    <x v="1"/>
    <n v="732.48"/>
    <n v="4.7619047620000003"/>
    <n v="36.624000000000002"/>
    <n v="6"/>
  </r>
  <r>
    <s v="142-32-3198"/>
    <x v="1"/>
    <x v="2"/>
    <x v="0"/>
    <x v="0"/>
    <x v="5"/>
    <n v="73.47"/>
    <n v="10"/>
    <n v="36.734999999999999"/>
    <x v="921"/>
    <x v="19"/>
    <x v="488"/>
    <x v="1"/>
    <n v="734.7"/>
    <n v="4.7619047620000003"/>
    <n v="36.734999999999999"/>
    <n v="9.5"/>
  </r>
  <r>
    <s v="884-80-6021"/>
    <x v="1"/>
    <x v="1"/>
    <x v="0"/>
    <x v="1"/>
    <x v="2"/>
    <n v="73.47"/>
    <n v="10"/>
    <n v="36.734999999999999"/>
    <x v="921"/>
    <x v="19"/>
    <x v="488"/>
    <x v="1"/>
    <n v="734.7"/>
    <n v="4.7619047620000003"/>
    <n v="36.734999999999999"/>
    <n v="9.5"/>
  </r>
  <r>
    <s v="315-22-5665"/>
    <x v="0"/>
    <x v="0"/>
    <x v="1"/>
    <x v="0"/>
    <x v="3"/>
    <n v="73.56"/>
    <n v="10"/>
    <n v="36.78"/>
    <x v="922"/>
    <x v="49"/>
    <x v="489"/>
    <x v="0"/>
    <n v="735.6"/>
    <n v="4.7619047620000003"/>
    <n v="36.78"/>
    <n v="8"/>
  </r>
  <r>
    <s v="225-57-4077"/>
    <x v="0"/>
    <x v="0"/>
    <x v="1"/>
    <x v="0"/>
    <x v="3"/>
    <n v="73.56"/>
    <n v="10"/>
    <n v="36.78"/>
    <x v="922"/>
    <x v="49"/>
    <x v="489"/>
    <x v="0"/>
    <n v="735.6"/>
    <n v="4.7619047620000003"/>
    <n v="36.78"/>
    <n v="8"/>
  </r>
  <r>
    <s v="366-60-1383"/>
    <x v="1"/>
    <x v="2"/>
    <x v="0"/>
    <x v="0"/>
    <x v="5"/>
    <n v="74.22"/>
    <n v="10"/>
    <n v="37.11"/>
    <x v="923"/>
    <x v="85"/>
    <x v="28"/>
    <x v="0"/>
    <n v="742.2"/>
    <n v="4.7619047620000003"/>
    <n v="37.11"/>
    <n v="4.3"/>
  </r>
  <r>
    <s v="416-17-9926"/>
    <x v="1"/>
    <x v="1"/>
    <x v="0"/>
    <x v="1"/>
    <x v="5"/>
    <n v="74.22"/>
    <n v="10"/>
    <n v="37.11"/>
    <x v="923"/>
    <x v="85"/>
    <x v="28"/>
    <x v="0"/>
    <n v="742.2"/>
    <n v="4.7619047620000003"/>
    <n v="37.11"/>
    <n v="4.3"/>
  </r>
  <r>
    <s v="559-58-4802"/>
    <x v="0"/>
    <x v="2"/>
    <x v="0"/>
    <x v="0"/>
    <x v="2"/>
    <n v="74.22"/>
    <n v="10"/>
    <n v="37.11"/>
    <x v="923"/>
    <x v="85"/>
    <x v="28"/>
    <x v="0"/>
    <n v="742.2"/>
    <n v="4.7619047620000003"/>
    <n v="37.11"/>
    <n v="4.3"/>
  </r>
  <r>
    <s v="524-49-1502"/>
    <x v="0"/>
    <x v="1"/>
    <x v="0"/>
    <x v="0"/>
    <x v="5"/>
    <n v="74.22"/>
    <n v="10"/>
    <n v="37.11"/>
    <x v="923"/>
    <x v="85"/>
    <x v="28"/>
    <x v="0"/>
    <n v="742.2"/>
    <n v="4.7619047620000003"/>
    <n v="37.11"/>
    <n v="4.3"/>
  </r>
  <r>
    <s v="243-55-8457"/>
    <x v="1"/>
    <x v="2"/>
    <x v="1"/>
    <x v="1"/>
    <x v="2"/>
    <n v="74.44"/>
    <n v="10"/>
    <n v="37.22"/>
    <x v="924"/>
    <x v="46"/>
    <x v="88"/>
    <x v="0"/>
    <n v="744.4"/>
    <n v="4.7619047620000003"/>
    <n v="37.22"/>
    <n v="5.0999999999999996"/>
  </r>
  <r>
    <s v="766-30-9061"/>
    <x v="1"/>
    <x v="2"/>
    <x v="1"/>
    <x v="0"/>
    <x v="2"/>
    <n v="74.44"/>
    <n v="10"/>
    <n v="37.22"/>
    <x v="924"/>
    <x v="46"/>
    <x v="88"/>
    <x v="1"/>
    <n v="744.4"/>
    <n v="4.7619047620000003"/>
    <n v="37.22"/>
    <n v="5.0999999999999996"/>
  </r>
  <r>
    <s v="453-33-6436"/>
    <x v="1"/>
    <x v="1"/>
    <x v="1"/>
    <x v="1"/>
    <x v="3"/>
    <n v="93.12"/>
    <n v="8"/>
    <n v="37.247999999999998"/>
    <x v="925"/>
    <x v="0"/>
    <x v="490"/>
    <x v="0"/>
    <n v="744.96"/>
    <n v="4.7619047620000003"/>
    <n v="37.247999999999998"/>
    <n v="6.8"/>
  </r>
  <r>
    <s v="571-94-0759"/>
    <x v="2"/>
    <x v="1"/>
    <x v="0"/>
    <x v="0"/>
    <x v="2"/>
    <n v="74.599999999999994"/>
    <n v="10"/>
    <n v="37.299999999999997"/>
    <x v="926"/>
    <x v="3"/>
    <x v="491"/>
    <x v="0"/>
    <n v="746"/>
    <n v="4.7619047620000003"/>
    <n v="37.299999999999997"/>
    <n v="9.5"/>
  </r>
  <r>
    <s v="233-14-1671"/>
    <x v="1"/>
    <x v="1"/>
    <x v="0"/>
    <x v="1"/>
    <x v="2"/>
    <n v="74.599999999999994"/>
    <n v="10"/>
    <n v="37.299999999999997"/>
    <x v="926"/>
    <x v="3"/>
    <x v="491"/>
    <x v="0"/>
    <n v="746"/>
    <n v="4.7619047620000003"/>
    <n v="37.299999999999997"/>
    <n v="9.5"/>
  </r>
  <r>
    <s v="746-94-0204"/>
    <x v="1"/>
    <x v="2"/>
    <x v="1"/>
    <x v="0"/>
    <x v="1"/>
    <n v="83.24"/>
    <n v="9"/>
    <n v="37.457999999999998"/>
    <x v="927"/>
    <x v="38"/>
    <x v="492"/>
    <x v="2"/>
    <n v="749.16"/>
    <n v="4.7619047620000003"/>
    <n v="37.457999999999998"/>
    <n v="7.4"/>
  </r>
  <r>
    <s v="376-02-8238"/>
    <x v="2"/>
    <x v="1"/>
    <x v="1"/>
    <x v="0"/>
    <x v="3"/>
    <n v="93.87"/>
    <n v="8"/>
    <n v="37.548000000000002"/>
    <x v="928"/>
    <x v="11"/>
    <x v="493"/>
    <x v="0"/>
    <n v="750.96"/>
    <n v="4.7619047620000003"/>
    <n v="37.548000000000002"/>
    <n v="8.3000000000000007"/>
  </r>
  <r>
    <s v="820-68-3772"/>
    <x v="0"/>
    <x v="1"/>
    <x v="1"/>
    <x v="0"/>
    <x v="2"/>
    <n v="93.87"/>
    <n v="8"/>
    <n v="37.548000000000002"/>
    <x v="928"/>
    <x v="11"/>
    <x v="493"/>
    <x v="0"/>
    <n v="750.96"/>
    <n v="4.7619047620000003"/>
    <n v="37.548000000000002"/>
    <n v="8.3000000000000007"/>
  </r>
  <r>
    <s v="515-86-8024"/>
    <x v="0"/>
    <x v="0"/>
    <x v="1"/>
    <x v="1"/>
    <x v="2"/>
    <n v="94.47"/>
    <n v="8"/>
    <n v="37.787999999999997"/>
    <x v="929"/>
    <x v="46"/>
    <x v="485"/>
    <x v="0"/>
    <n v="755.76"/>
    <n v="4.7619047620000003"/>
    <n v="37.787999999999997"/>
    <n v="9.1"/>
  </r>
  <r>
    <s v="605-72-4132"/>
    <x v="0"/>
    <x v="1"/>
    <x v="1"/>
    <x v="1"/>
    <x v="2"/>
    <n v="94.47"/>
    <n v="8"/>
    <n v="37.787999999999997"/>
    <x v="929"/>
    <x v="46"/>
    <x v="485"/>
    <x v="0"/>
    <n v="755.76"/>
    <n v="4.7619047620000003"/>
    <n v="37.787999999999997"/>
    <n v="9.1"/>
  </r>
  <r>
    <s v="831-59-7587"/>
    <x v="0"/>
    <x v="1"/>
    <x v="1"/>
    <x v="1"/>
    <x v="2"/>
    <n v="94.47"/>
    <n v="8"/>
    <n v="37.787999999999997"/>
    <x v="929"/>
    <x v="46"/>
    <x v="485"/>
    <x v="0"/>
    <n v="755.76"/>
    <n v="4.7619047620000003"/>
    <n v="37.787999999999997"/>
    <n v="16.399999999999999"/>
  </r>
  <r>
    <s v="305-14-0245"/>
    <x v="2"/>
    <x v="1"/>
    <x v="0"/>
    <x v="0"/>
    <x v="3"/>
    <n v="94.49"/>
    <n v="8"/>
    <n v="37.795999999999999"/>
    <x v="930"/>
    <x v="18"/>
    <x v="494"/>
    <x v="0"/>
    <n v="755.92"/>
    <n v="4.7619047620000003"/>
    <n v="37.795999999999999"/>
    <n v="7.5"/>
  </r>
  <r>
    <s v="787-43-8015"/>
    <x v="1"/>
    <x v="1"/>
    <x v="0"/>
    <x v="0"/>
    <x v="3"/>
    <n v="94.49"/>
    <n v="8"/>
    <n v="37.795999999999999"/>
    <x v="930"/>
    <x v="18"/>
    <x v="494"/>
    <x v="0"/>
    <n v="755.92"/>
    <n v="4.7619047620000003"/>
    <n v="37.795999999999999"/>
    <n v="7.5"/>
  </r>
  <r>
    <s v="418-02-5978"/>
    <x v="2"/>
    <x v="1"/>
    <x v="1"/>
    <x v="0"/>
    <x v="4"/>
    <n v="84.09"/>
    <n v="9"/>
    <n v="37.840499999999999"/>
    <x v="931"/>
    <x v="88"/>
    <x v="278"/>
    <x v="0"/>
    <n v="756.81"/>
    <n v="4.7619047620000003"/>
    <n v="37.840499999999999"/>
    <n v="8"/>
  </r>
  <r>
    <s v="779-76-3432"/>
    <x v="0"/>
    <x v="1"/>
    <x v="1"/>
    <x v="0"/>
    <x v="4"/>
    <n v="84.09"/>
    <n v="9"/>
    <n v="37.840499999999999"/>
    <x v="931"/>
    <x v="88"/>
    <x v="278"/>
    <x v="0"/>
    <n v="756.81"/>
    <n v="4.7619047620000003"/>
    <n v="37.840499999999999"/>
    <n v="8"/>
  </r>
  <r>
    <s v="549-03-9315"/>
    <x v="2"/>
    <x v="1"/>
    <x v="1"/>
    <x v="0"/>
    <x v="1"/>
    <n v="94.87"/>
    <n v="8"/>
    <n v="37.948"/>
    <x v="932"/>
    <x v="41"/>
    <x v="187"/>
    <x v="1"/>
    <n v="758.96"/>
    <n v="4.7619047620000003"/>
    <n v="37.948"/>
    <n v="8.6999999999999993"/>
  </r>
  <r>
    <s v="593-14-4239"/>
    <x v="2"/>
    <x v="1"/>
    <x v="1"/>
    <x v="1"/>
    <x v="3"/>
    <n v="95.46"/>
    <n v="8"/>
    <n v="38.183999999999997"/>
    <x v="933"/>
    <x v="53"/>
    <x v="112"/>
    <x v="1"/>
    <n v="763.68"/>
    <n v="4.7619047620000003"/>
    <n v="38.183999999999997"/>
    <n v="4.7"/>
  </r>
  <r>
    <s v="428-69-9001"/>
    <x v="2"/>
    <x v="1"/>
    <x v="1"/>
    <x v="0"/>
    <x v="0"/>
    <n v="76.599999999999994"/>
    <n v="10"/>
    <n v="38.299999999999997"/>
    <x v="934"/>
    <x v="61"/>
    <x v="22"/>
    <x v="0"/>
    <n v="766"/>
    <n v="4.7619047620000003"/>
    <n v="38.299999999999997"/>
    <n v="6"/>
  </r>
  <r>
    <s v="602-16-6955"/>
    <x v="2"/>
    <x v="1"/>
    <x v="1"/>
    <x v="1"/>
    <x v="0"/>
    <n v="76.599999999999994"/>
    <n v="10"/>
    <n v="38.299999999999997"/>
    <x v="934"/>
    <x v="61"/>
    <x v="22"/>
    <x v="1"/>
    <n v="766"/>
    <n v="4.7619047620000003"/>
    <n v="38.299999999999997"/>
    <n v="6"/>
  </r>
  <r>
    <s v="769-42-6693"/>
    <x v="0"/>
    <x v="1"/>
    <x v="1"/>
    <x v="0"/>
    <x v="0"/>
    <n v="76.599999999999994"/>
    <n v="10"/>
    <n v="38.299999999999997"/>
    <x v="934"/>
    <x v="61"/>
    <x v="22"/>
    <x v="0"/>
    <n v="766"/>
    <n v="4.7619047620000003"/>
    <n v="38.299999999999997"/>
    <n v="6"/>
  </r>
  <r>
    <s v="222-38-1865"/>
    <x v="2"/>
    <x v="1"/>
    <x v="1"/>
    <x v="1"/>
    <x v="0"/>
    <n v="76.599999999999994"/>
    <n v="10"/>
    <n v="38.299999999999997"/>
    <x v="934"/>
    <x v="61"/>
    <x v="22"/>
    <x v="1"/>
    <n v="766"/>
    <n v="4.7619047620000003"/>
    <n v="38.299999999999997"/>
    <n v="16.5"/>
  </r>
  <r>
    <s v="889-66-4477"/>
    <x v="2"/>
    <x v="1"/>
    <x v="1"/>
    <x v="1"/>
    <x v="0"/>
    <n v="76.599999999999994"/>
    <n v="10"/>
    <n v="38.299999999999997"/>
    <x v="934"/>
    <x v="61"/>
    <x v="22"/>
    <x v="1"/>
    <n v="766"/>
    <n v="4.7619047620000003"/>
    <n v="38.299999999999997"/>
    <n v="16.600000000000001"/>
  </r>
  <r>
    <s v="137-57-9401"/>
    <x v="1"/>
    <x v="2"/>
    <x v="0"/>
    <x v="0"/>
    <x v="0"/>
    <n v="76.92"/>
    <n v="10"/>
    <n v="38.46"/>
    <x v="935"/>
    <x v="16"/>
    <x v="418"/>
    <x v="1"/>
    <n v="769.2"/>
    <n v="4.7619047620000003"/>
    <n v="38.46"/>
    <n v="5.6"/>
  </r>
  <r>
    <s v="880-46-5796"/>
    <x v="1"/>
    <x v="1"/>
    <x v="0"/>
    <x v="0"/>
    <x v="2"/>
    <n v="76.92"/>
    <n v="10"/>
    <n v="38.46"/>
    <x v="935"/>
    <x v="16"/>
    <x v="418"/>
    <x v="1"/>
    <n v="769.2"/>
    <n v="4.7619047620000003"/>
    <n v="38.46"/>
    <n v="5.6"/>
  </r>
  <r>
    <s v="654-30-1803"/>
    <x v="2"/>
    <x v="1"/>
    <x v="0"/>
    <x v="0"/>
    <x v="2"/>
    <n v="77.2"/>
    <n v="10"/>
    <n v="38.6"/>
    <x v="936"/>
    <x v="88"/>
    <x v="9"/>
    <x v="2"/>
    <n v="772"/>
    <n v="4.7619047620000003"/>
    <n v="38.6"/>
    <n v="5.6"/>
  </r>
  <r>
    <s v="842-40-8179"/>
    <x v="2"/>
    <x v="1"/>
    <x v="0"/>
    <x v="1"/>
    <x v="2"/>
    <n v="77.2"/>
    <n v="10"/>
    <n v="38.6"/>
    <x v="936"/>
    <x v="88"/>
    <x v="9"/>
    <x v="2"/>
    <n v="772"/>
    <n v="4.7619047620000003"/>
    <n v="38.6"/>
    <n v="5.6"/>
  </r>
  <r>
    <s v="121-16-9155"/>
    <x v="2"/>
    <x v="0"/>
    <x v="0"/>
    <x v="0"/>
    <x v="2"/>
    <n v="77.2"/>
    <n v="10"/>
    <n v="38.6"/>
    <x v="936"/>
    <x v="88"/>
    <x v="9"/>
    <x v="2"/>
    <n v="772"/>
    <n v="4.7619047620000003"/>
    <n v="38.6"/>
    <n v="16.7"/>
  </r>
  <r>
    <s v="373-09-4567"/>
    <x v="0"/>
    <x v="0"/>
    <x v="1"/>
    <x v="0"/>
    <x v="2"/>
    <n v="77.56"/>
    <n v="10"/>
    <n v="38.78"/>
    <x v="937"/>
    <x v="45"/>
    <x v="308"/>
    <x v="0"/>
    <n v="775.6"/>
    <n v="4.7619047620000003"/>
    <n v="38.78"/>
    <n v="6.9"/>
  </r>
  <r>
    <s v="625-14-2396"/>
    <x v="0"/>
    <x v="0"/>
    <x v="1"/>
    <x v="0"/>
    <x v="2"/>
    <n v="77.56"/>
    <n v="10"/>
    <n v="38.78"/>
    <x v="937"/>
    <x v="45"/>
    <x v="308"/>
    <x v="1"/>
    <n v="775.6"/>
    <n v="4.7619047620000003"/>
    <n v="38.78"/>
    <n v="6.9"/>
  </r>
  <r>
    <s v="874-89-1622"/>
    <x v="0"/>
    <x v="0"/>
    <x v="1"/>
    <x v="0"/>
    <x v="2"/>
    <n v="77.56"/>
    <n v="10"/>
    <n v="38.78"/>
    <x v="937"/>
    <x v="45"/>
    <x v="308"/>
    <x v="0"/>
    <n v="775.6"/>
    <n v="4.7619047620000003"/>
    <n v="38.78"/>
    <n v="6.9"/>
  </r>
  <r>
    <s v="129-81-8822"/>
    <x v="0"/>
    <x v="0"/>
    <x v="1"/>
    <x v="0"/>
    <x v="2"/>
    <n v="77.56"/>
    <n v="10"/>
    <n v="38.78"/>
    <x v="937"/>
    <x v="45"/>
    <x v="308"/>
    <x v="1"/>
    <n v="775.6"/>
    <n v="4.7619047620000003"/>
    <n v="38.78"/>
    <n v="16.8"/>
  </r>
  <r>
    <s v="652-43-6591"/>
    <x v="1"/>
    <x v="1"/>
    <x v="1"/>
    <x v="1"/>
    <x v="1"/>
    <n v="97.29"/>
    <n v="8"/>
    <n v="38.915999999999997"/>
    <x v="938"/>
    <x v="8"/>
    <x v="370"/>
    <x v="2"/>
    <n v="778.32"/>
    <n v="4.7619047620000003"/>
    <n v="38.915999999999997"/>
    <n v="6.2"/>
  </r>
  <r>
    <s v="237-65-5822"/>
    <x v="1"/>
    <x v="0"/>
    <x v="1"/>
    <x v="1"/>
    <x v="1"/>
    <n v="97.29"/>
    <n v="8"/>
    <n v="38.915999999999997"/>
    <x v="938"/>
    <x v="8"/>
    <x v="370"/>
    <x v="2"/>
    <n v="778.32"/>
    <n v="4.7619047620000003"/>
    <n v="38.915999999999997"/>
    <n v="16.899999999999999"/>
  </r>
  <r>
    <s v="227-07-4446"/>
    <x v="0"/>
    <x v="1"/>
    <x v="1"/>
    <x v="1"/>
    <x v="5"/>
    <n v="78.13"/>
    <n v="10"/>
    <n v="39.064999999999998"/>
    <x v="939"/>
    <x v="64"/>
    <x v="495"/>
    <x v="0"/>
    <n v="781.3"/>
    <n v="4.7619047620000003"/>
    <n v="39.064999999999998"/>
    <n v="4.4000000000000004"/>
  </r>
  <r>
    <s v="619-47-5576"/>
    <x v="0"/>
    <x v="0"/>
    <x v="0"/>
    <x v="0"/>
    <x v="5"/>
    <n v="78.13"/>
    <n v="10"/>
    <n v="39.064999999999998"/>
    <x v="939"/>
    <x v="64"/>
    <x v="495"/>
    <x v="0"/>
    <n v="781.3"/>
    <n v="4.7619047620000003"/>
    <n v="39.064999999999998"/>
    <n v="4.4000000000000004"/>
  </r>
  <r>
    <s v="603-17-7605"/>
    <x v="0"/>
    <x v="0"/>
    <x v="0"/>
    <x v="0"/>
    <x v="5"/>
    <n v="78.13"/>
    <n v="10"/>
    <n v="39.064999999999998"/>
    <x v="939"/>
    <x v="64"/>
    <x v="495"/>
    <x v="0"/>
    <n v="781.3"/>
    <n v="4.7619047620000003"/>
    <n v="39.064999999999998"/>
    <n v="17"/>
  </r>
  <r>
    <s v="257-79-4108"/>
    <x v="0"/>
    <x v="0"/>
    <x v="0"/>
    <x v="1"/>
    <x v="2"/>
    <n v="78.31"/>
    <n v="10"/>
    <n v="39.155000000000001"/>
    <x v="940"/>
    <x v="53"/>
    <x v="251"/>
    <x v="1"/>
    <n v="783.1"/>
    <n v="4.7619047620000003"/>
    <n v="39.155000000000001"/>
    <n v="6.6"/>
  </r>
  <r>
    <s v="829-49-1914"/>
    <x v="0"/>
    <x v="0"/>
    <x v="0"/>
    <x v="0"/>
    <x v="2"/>
    <n v="78.31"/>
    <n v="10"/>
    <n v="39.155000000000001"/>
    <x v="940"/>
    <x v="53"/>
    <x v="251"/>
    <x v="1"/>
    <n v="783.1"/>
    <n v="4.7619047620000003"/>
    <n v="39.155000000000001"/>
    <n v="6.6"/>
  </r>
  <r>
    <s v="232-11-3025"/>
    <x v="1"/>
    <x v="2"/>
    <x v="1"/>
    <x v="0"/>
    <x v="0"/>
    <n v="78.77"/>
    <n v="10"/>
    <n v="39.384999999999998"/>
    <x v="941"/>
    <x v="61"/>
    <x v="496"/>
    <x v="0"/>
    <n v="787.7"/>
    <n v="4.7619047620000003"/>
    <n v="39.384999999999998"/>
    <n v="6.4"/>
  </r>
  <r>
    <s v="111-99-2090"/>
    <x v="0"/>
    <x v="0"/>
    <x v="0"/>
    <x v="1"/>
    <x v="2"/>
    <n v="98.7"/>
    <n v="8"/>
    <n v="39.479999999999997"/>
    <x v="942"/>
    <x v="26"/>
    <x v="497"/>
    <x v="0"/>
    <n v="789.6"/>
    <n v="4.7619047620000003"/>
    <n v="39.479999999999997"/>
    <n v="7.6"/>
  </r>
  <r>
    <s v="228-96-1411"/>
    <x v="0"/>
    <x v="0"/>
    <x v="0"/>
    <x v="0"/>
    <x v="2"/>
    <n v="98.7"/>
    <n v="8"/>
    <n v="39.479999999999997"/>
    <x v="942"/>
    <x v="26"/>
    <x v="497"/>
    <x v="0"/>
    <n v="789.6"/>
    <n v="4.7619047620000003"/>
    <n v="39.479999999999997"/>
    <n v="7.6"/>
  </r>
  <r>
    <s v="699-93-1100"/>
    <x v="0"/>
    <x v="0"/>
    <x v="1"/>
    <x v="0"/>
    <x v="1"/>
    <n v="98.7"/>
    <n v="8"/>
    <n v="39.479999999999997"/>
    <x v="942"/>
    <x v="63"/>
    <x v="31"/>
    <x v="1"/>
    <n v="789.6"/>
    <n v="4.7619047620000003"/>
    <n v="39.479999999999997"/>
    <n v="8.5"/>
  </r>
  <r>
    <s v="735-32-9839"/>
    <x v="0"/>
    <x v="0"/>
    <x v="0"/>
    <x v="0"/>
    <x v="1"/>
    <n v="98.7"/>
    <n v="8"/>
    <n v="39.479999999999997"/>
    <x v="942"/>
    <x v="63"/>
    <x v="31"/>
    <x v="1"/>
    <n v="789.6"/>
    <n v="4.7619047620000003"/>
    <n v="39.479999999999997"/>
    <n v="8.5"/>
  </r>
  <r>
    <s v="162-93-5905"/>
    <x v="0"/>
    <x v="0"/>
    <x v="1"/>
    <x v="1"/>
    <x v="2"/>
    <n v="87.8"/>
    <n v="9"/>
    <n v="39.51"/>
    <x v="943"/>
    <x v="29"/>
    <x v="448"/>
    <x v="0"/>
    <n v="790.2"/>
    <n v="4.7619047620000003"/>
    <n v="39.51"/>
    <n v="9.1999999999999993"/>
  </r>
  <r>
    <s v="286-43-6208"/>
    <x v="0"/>
    <x v="0"/>
    <x v="1"/>
    <x v="0"/>
    <x v="2"/>
    <n v="87.8"/>
    <n v="9"/>
    <n v="39.51"/>
    <x v="943"/>
    <x v="29"/>
    <x v="448"/>
    <x v="0"/>
    <n v="790.2"/>
    <n v="4.7619047620000003"/>
    <n v="39.51"/>
    <n v="9.1999999999999993"/>
  </r>
  <r>
    <s v="653-84-1946"/>
    <x v="1"/>
    <x v="0"/>
    <x v="1"/>
    <x v="0"/>
    <x v="2"/>
    <n v="87.8"/>
    <n v="9"/>
    <n v="39.51"/>
    <x v="943"/>
    <x v="29"/>
    <x v="448"/>
    <x v="1"/>
    <n v="790.2"/>
    <n v="4.7619047620000003"/>
    <n v="39.51"/>
    <n v="9.1999999999999993"/>
  </r>
  <r>
    <s v="457-94-0464"/>
    <x v="2"/>
    <x v="1"/>
    <x v="0"/>
    <x v="0"/>
    <x v="5"/>
    <n v="87.87"/>
    <n v="9"/>
    <n v="39.541499999999999"/>
    <x v="944"/>
    <x v="63"/>
    <x v="498"/>
    <x v="1"/>
    <n v="790.83"/>
    <n v="4.7619047620000003"/>
    <n v="39.541499999999999"/>
    <n v="5.6"/>
  </r>
  <r>
    <s v="540-69-1313"/>
    <x v="2"/>
    <x v="1"/>
    <x v="0"/>
    <x v="0"/>
    <x v="5"/>
    <n v="87.87"/>
    <n v="9"/>
    <n v="39.541499999999999"/>
    <x v="944"/>
    <x v="63"/>
    <x v="498"/>
    <x v="1"/>
    <n v="790.83"/>
    <n v="4.7619047620000003"/>
    <n v="39.541499999999999"/>
    <n v="5.6"/>
  </r>
  <r>
    <s v="699-88-1972"/>
    <x v="2"/>
    <x v="1"/>
    <x v="1"/>
    <x v="0"/>
    <x v="4"/>
    <n v="99.16"/>
    <n v="8"/>
    <n v="39.664000000000001"/>
    <x v="945"/>
    <x v="12"/>
    <x v="122"/>
    <x v="0"/>
    <n v="793.28"/>
    <n v="4.7619047620000003"/>
    <n v="39.664000000000001"/>
    <n v="4.2"/>
  </r>
  <r>
    <s v="533-33-5337"/>
    <x v="0"/>
    <x v="1"/>
    <x v="1"/>
    <x v="0"/>
    <x v="5"/>
    <n v="79.39"/>
    <n v="10"/>
    <n v="39.695"/>
    <x v="946"/>
    <x v="0"/>
    <x v="318"/>
    <x v="0"/>
    <n v="793.9"/>
    <n v="4.7619047620000003"/>
    <n v="39.695"/>
    <n v="6.2"/>
  </r>
  <r>
    <s v="710-81-9529"/>
    <x v="2"/>
    <x v="1"/>
    <x v="1"/>
    <x v="0"/>
    <x v="5"/>
    <n v="79.39"/>
    <n v="10"/>
    <n v="39.695"/>
    <x v="946"/>
    <x v="0"/>
    <x v="318"/>
    <x v="0"/>
    <n v="793.9"/>
    <n v="4.7619047620000003"/>
    <n v="39.695"/>
    <n v="6.2"/>
  </r>
  <r>
    <s v="431-66-2305"/>
    <x v="2"/>
    <x v="1"/>
    <x v="1"/>
    <x v="1"/>
    <x v="5"/>
    <n v="88.25"/>
    <n v="9"/>
    <n v="39.712499999999999"/>
    <x v="947"/>
    <x v="74"/>
    <x v="495"/>
    <x v="0"/>
    <n v="794.25"/>
    <n v="4.7619047620000003"/>
    <n v="39.712499999999999"/>
    <n v="7.6"/>
  </r>
  <r>
    <s v="859-87-1016"/>
    <x v="2"/>
    <x v="1"/>
    <x v="1"/>
    <x v="0"/>
    <x v="2"/>
    <n v="88.25"/>
    <n v="9"/>
    <n v="39.712499999999999"/>
    <x v="947"/>
    <x v="74"/>
    <x v="495"/>
    <x v="2"/>
    <n v="794.25"/>
    <n v="4.7619047620000003"/>
    <n v="39.712499999999999"/>
    <n v="7.6"/>
  </r>
  <r>
    <s v="998-60-9929"/>
    <x v="0"/>
    <x v="1"/>
    <x v="1"/>
    <x v="0"/>
    <x v="5"/>
    <n v="88.25"/>
    <n v="9"/>
    <n v="39.712499999999999"/>
    <x v="947"/>
    <x v="74"/>
    <x v="495"/>
    <x v="0"/>
    <n v="794.25"/>
    <n v="4.7619047620000003"/>
    <n v="39.712499999999999"/>
    <n v="7.6"/>
  </r>
  <r>
    <s v="640-48-5028"/>
    <x v="0"/>
    <x v="1"/>
    <x v="0"/>
    <x v="1"/>
    <x v="3"/>
    <n v="88.39"/>
    <n v="9"/>
    <n v="39.775500000000001"/>
    <x v="948"/>
    <x v="23"/>
    <x v="38"/>
    <x v="0"/>
    <n v="795.51"/>
    <n v="4.7619047620000003"/>
    <n v="39.775500000000001"/>
    <n v="6.3"/>
  </r>
  <r>
    <s v="781-21-1725"/>
    <x v="0"/>
    <x v="0"/>
    <x v="0"/>
    <x v="1"/>
    <x v="3"/>
    <n v="88.39"/>
    <n v="9"/>
    <n v="39.775500000000001"/>
    <x v="948"/>
    <x v="23"/>
    <x v="38"/>
    <x v="0"/>
    <n v="795.51"/>
    <n v="4.7619047620000003"/>
    <n v="39.775500000000001"/>
    <n v="17.100000000000001"/>
  </r>
  <r>
    <s v="135-14-1684"/>
    <x v="1"/>
    <x v="2"/>
    <x v="1"/>
    <x v="0"/>
    <x v="5"/>
    <n v="99.56"/>
    <n v="8"/>
    <n v="39.823999999999998"/>
    <x v="949"/>
    <x v="83"/>
    <x v="195"/>
    <x v="2"/>
    <n v="796.48"/>
    <n v="4.7619047620000003"/>
    <n v="39.823999999999998"/>
    <n v="5.2"/>
  </r>
  <r>
    <s v="638-60-7125"/>
    <x v="1"/>
    <x v="2"/>
    <x v="1"/>
    <x v="0"/>
    <x v="5"/>
    <n v="99.56"/>
    <n v="8"/>
    <n v="39.823999999999998"/>
    <x v="949"/>
    <x v="83"/>
    <x v="195"/>
    <x v="2"/>
    <n v="796.48"/>
    <n v="4.7619047620000003"/>
    <n v="39.823999999999998"/>
    <n v="5.2"/>
  </r>
  <r>
    <s v="962-42-4499"/>
    <x v="1"/>
    <x v="0"/>
    <x v="1"/>
    <x v="0"/>
    <x v="5"/>
    <n v="99.56"/>
    <n v="8"/>
    <n v="39.823999999999998"/>
    <x v="949"/>
    <x v="83"/>
    <x v="195"/>
    <x v="2"/>
    <n v="796.48"/>
    <n v="4.7619047620000003"/>
    <n v="39.823999999999998"/>
    <n v="17.2"/>
  </r>
  <r>
    <s v="138-17-5109"/>
    <x v="0"/>
    <x v="2"/>
    <x v="0"/>
    <x v="1"/>
    <x v="3"/>
    <n v="89.21"/>
    <n v="9"/>
    <n v="40.144500000000001"/>
    <x v="950"/>
    <x v="67"/>
    <x v="170"/>
    <x v="2"/>
    <n v="802.89"/>
    <n v="4.7619047620000003"/>
    <n v="40.144500000000001"/>
    <n v="6.5"/>
  </r>
  <r>
    <s v="698-98-5964"/>
    <x v="0"/>
    <x v="2"/>
    <x v="1"/>
    <x v="1"/>
    <x v="2"/>
    <n v="81.209999999999994"/>
    <n v="10"/>
    <n v="40.604999999999997"/>
    <x v="951"/>
    <x v="77"/>
    <x v="141"/>
    <x v="2"/>
    <n v="812.1"/>
    <n v="4.7619047620000003"/>
    <n v="40.604999999999997"/>
    <n v="6.3"/>
  </r>
  <r>
    <s v="717-94-3810"/>
    <x v="1"/>
    <x v="2"/>
    <x v="1"/>
    <x v="1"/>
    <x v="2"/>
    <n v="81.209999999999994"/>
    <n v="10"/>
    <n v="40.604999999999997"/>
    <x v="951"/>
    <x v="77"/>
    <x v="141"/>
    <x v="2"/>
    <n v="812.1"/>
    <n v="4.7619047620000003"/>
    <n v="40.604999999999997"/>
    <n v="6.3"/>
  </r>
  <r>
    <s v="549-84-7482"/>
    <x v="2"/>
    <x v="1"/>
    <x v="1"/>
    <x v="0"/>
    <x v="0"/>
    <n v="90.28"/>
    <n v="9"/>
    <n v="40.625999999999998"/>
    <x v="952"/>
    <x v="13"/>
    <x v="282"/>
    <x v="1"/>
    <n v="812.52"/>
    <n v="4.7619047620000003"/>
    <n v="40.625999999999998"/>
    <n v="7.2"/>
  </r>
  <r>
    <s v="678-79-0726"/>
    <x v="0"/>
    <x v="0"/>
    <x v="0"/>
    <x v="1"/>
    <x v="0"/>
    <n v="90.63"/>
    <n v="9"/>
    <n v="40.783499999999997"/>
    <x v="953"/>
    <x v="40"/>
    <x v="364"/>
    <x v="0"/>
    <n v="815.67"/>
    <n v="4.7619047620000003"/>
    <n v="40.783499999999997"/>
    <n v="5.0999999999999996"/>
  </r>
  <r>
    <s v="679-46-5541"/>
    <x v="0"/>
    <x v="0"/>
    <x v="0"/>
    <x v="0"/>
    <x v="0"/>
    <n v="90.63"/>
    <n v="9"/>
    <n v="40.783499999999997"/>
    <x v="953"/>
    <x v="40"/>
    <x v="364"/>
    <x v="0"/>
    <n v="815.67"/>
    <n v="4.7619047620000003"/>
    <n v="40.783499999999997"/>
    <n v="5.0999999999999996"/>
  </r>
  <r>
    <s v="703-41-3645"/>
    <x v="0"/>
    <x v="0"/>
    <x v="0"/>
    <x v="1"/>
    <x v="0"/>
    <n v="90.63"/>
    <n v="9"/>
    <n v="40.783499999999997"/>
    <x v="953"/>
    <x v="40"/>
    <x v="364"/>
    <x v="0"/>
    <n v="815.67"/>
    <n v="4.7619047620000003"/>
    <n v="40.783499999999997"/>
    <n v="17.3"/>
  </r>
  <r>
    <s v="483-36-4657"/>
    <x v="0"/>
    <x v="0"/>
    <x v="0"/>
    <x v="0"/>
    <x v="0"/>
    <n v="90.63"/>
    <n v="9"/>
    <n v="40.783499999999997"/>
    <x v="953"/>
    <x v="40"/>
    <x v="364"/>
    <x v="0"/>
    <n v="815.67"/>
    <n v="4.7619047620000003"/>
    <n v="40.783499999999997"/>
    <n v="17.399999999999999"/>
  </r>
  <r>
    <s v="607-65-2441"/>
    <x v="0"/>
    <x v="1"/>
    <x v="0"/>
    <x v="0"/>
    <x v="4"/>
    <n v="81.95"/>
    <n v="10"/>
    <n v="40.975000000000001"/>
    <x v="954"/>
    <x v="20"/>
    <x v="499"/>
    <x v="2"/>
    <n v="819.5"/>
    <n v="4.7619047620000003"/>
    <n v="40.975000000000001"/>
    <n v="6"/>
  </r>
  <r>
    <s v="990-48-8039"/>
    <x v="0"/>
    <x v="1"/>
    <x v="0"/>
    <x v="0"/>
    <x v="4"/>
    <n v="81.95"/>
    <n v="10"/>
    <n v="40.975000000000001"/>
    <x v="954"/>
    <x v="20"/>
    <x v="499"/>
    <x v="2"/>
    <n v="819.5"/>
    <n v="4.7619047620000003"/>
    <n v="40.975000000000001"/>
    <n v="17.5"/>
  </r>
  <r>
    <s v="362-91-6412"/>
    <x v="0"/>
    <x v="0"/>
    <x v="0"/>
    <x v="0"/>
    <x v="5"/>
    <n v="81.97"/>
    <n v="10"/>
    <n v="40.984999999999999"/>
    <x v="955"/>
    <x v="18"/>
    <x v="340"/>
    <x v="0"/>
    <n v="819.7"/>
    <n v="4.7619047620000003"/>
    <n v="40.984999999999999"/>
    <n v="9.1999999999999993"/>
  </r>
  <r>
    <s v="861-77-0145"/>
    <x v="0"/>
    <x v="1"/>
    <x v="0"/>
    <x v="0"/>
    <x v="2"/>
    <n v="81.97"/>
    <n v="10"/>
    <n v="40.984999999999999"/>
    <x v="955"/>
    <x v="18"/>
    <x v="340"/>
    <x v="0"/>
    <n v="819.7"/>
    <n v="4.7619047620000003"/>
    <n v="40.984999999999999"/>
    <n v="9.1999999999999993"/>
  </r>
  <r>
    <s v="286-67-5277"/>
    <x v="0"/>
    <x v="0"/>
    <x v="0"/>
    <x v="0"/>
    <x v="2"/>
    <n v="81.97"/>
    <n v="10"/>
    <n v="40.984999999999999"/>
    <x v="955"/>
    <x v="18"/>
    <x v="340"/>
    <x v="0"/>
    <n v="819.7"/>
    <n v="4.7619047620000003"/>
    <n v="40.984999999999999"/>
    <n v="9.1999999999999993"/>
  </r>
  <r>
    <s v="267-62-7380"/>
    <x v="0"/>
    <x v="1"/>
    <x v="0"/>
    <x v="0"/>
    <x v="5"/>
    <n v="82.34"/>
    <n v="10"/>
    <n v="41.17"/>
    <x v="956"/>
    <x v="86"/>
    <x v="500"/>
    <x v="0"/>
    <n v="823.4"/>
    <n v="4.7619047620000003"/>
    <n v="41.17"/>
    <n v="4.3"/>
  </r>
  <r>
    <s v="672-66-2340"/>
    <x v="0"/>
    <x v="0"/>
    <x v="0"/>
    <x v="0"/>
    <x v="5"/>
    <n v="82.34"/>
    <n v="10"/>
    <n v="41.17"/>
    <x v="956"/>
    <x v="86"/>
    <x v="500"/>
    <x v="1"/>
    <n v="823.4"/>
    <n v="4.7619047620000003"/>
    <n v="41.17"/>
    <n v="4.3"/>
  </r>
  <r>
    <s v="282-15-1867"/>
    <x v="0"/>
    <x v="0"/>
    <x v="0"/>
    <x v="0"/>
    <x v="5"/>
    <n v="82.34"/>
    <n v="10"/>
    <n v="41.17"/>
    <x v="956"/>
    <x v="86"/>
    <x v="500"/>
    <x v="1"/>
    <n v="823.4"/>
    <n v="4.7619047620000003"/>
    <n v="41.17"/>
    <n v="17.600000000000001"/>
  </r>
  <r>
    <s v="628-90-8624"/>
    <x v="0"/>
    <x v="1"/>
    <x v="0"/>
    <x v="0"/>
    <x v="4"/>
    <n v="82.58"/>
    <n v="10"/>
    <n v="41.29"/>
    <x v="957"/>
    <x v="45"/>
    <x v="98"/>
    <x v="0"/>
    <n v="825.8"/>
    <n v="4.7619047620000003"/>
    <n v="41.29"/>
    <n v="5"/>
  </r>
  <r>
    <s v="479-55-8468"/>
    <x v="0"/>
    <x v="0"/>
    <x v="0"/>
    <x v="0"/>
    <x v="4"/>
    <n v="82.58"/>
    <n v="10"/>
    <n v="41.29"/>
    <x v="957"/>
    <x v="45"/>
    <x v="98"/>
    <x v="0"/>
    <n v="825.8"/>
    <n v="4.7619047620000003"/>
    <n v="41.29"/>
    <n v="17.7"/>
  </r>
  <r>
    <s v="574-22-5561"/>
    <x v="0"/>
    <x v="0"/>
    <x v="0"/>
    <x v="0"/>
    <x v="1"/>
    <n v="82.63"/>
    <n v="10"/>
    <n v="41.314999999999998"/>
    <x v="958"/>
    <x v="7"/>
    <x v="16"/>
    <x v="1"/>
    <n v="826.3"/>
    <n v="4.7619047620000003"/>
    <n v="41.314999999999998"/>
    <n v="7.9"/>
  </r>
  <r>
    <s v="239-71-7876"/>
    <x v="2"/>
    <x v="1"/>
    <x v="1"/>
    <x v="0"/>
    <x v="1"/>
    <n v="83.25"/>
    <n v="10"/>
    <n v="41.625"/>
    <x v="959"/>
    <x v="22"/>
    <x v="350"/>
    <x v="2"/>
    <n v="832.5"/>
    <n v="4.7619047620000003"/>
    <n v="41.625"/>
    <n v="4.4000000000000004"/>
  </r>
  <r>
    <s v="852-62-7105"/>
    <x v="0"/>
    <x v="1"/>
    <x v="1"/>
    <x v="1"/>
    <x v="2"/>
    <n v="83.25"/>
    <n v="10"/>
    <n v="41.625"/>
    <x v="959"/>
    <x v="22"/>
    <x v="350"/>
    <x v="0"/>
    <n v="832.5"/>
    <n v="4.7619047620000003"/>
    <n v="41.625"/>
    <n v="4.4000000000000004"/>
  </r>
  <r>
    <s v="677-11-0152"/>
    <x v="0"/>
    <x v="0"/>
    <x v="1"/>
    <x v="0"/>
    <x v="2"/>
    <n v="93.26"/>
    <n v="9"/>
    <n v="41.966999999999999"/>
    <x v="960"/>
    <x v="30"/>
    <x v="118"/>
    <x v="0"/>
    <n v="839.34"/>
    <n v="4.7619047620000003"/>
    <n v="41.966999999999999"/>
    <n v="8.8000000000000007"/>
  </r>
  <r>
    <s v="859-53-4475"/>
    <x v="0"/>
    <x v="1"/>
    <x v="1"/>
    <x v="1"/>
    <x v="2"/>
    <n v="93.26"/>
    <n v="9"/>
    <n v="41.966999999999999"/>
    <x v="960"/>
    <x v="30"/>
    <x v="118"/>
    <x v="0"/>
    <n v="839.34"/>
    <n v="4.7619047620000003"/>
    <n v="41.966999999999999"/>
    <n v="8.8000000000000007"/>
  </r>
  <r>
    <s v="822-27-6151"/>
    <x v="0"/>
    <x v="0"/>
    <x v="1"/>
    <x v="0"/>
    <x v="2"/>
    <n v="93.26"/>
    <n v="9"/>
    <n v="41.966999999999999"/>
    <x v="960"/>
    <x v="30"/>
    <x v="118"/>
    <x v="0"/>
    <n v="839.34"/>
    <n v="4.7619047620000003"/>
    <n v="41.966999999999999"/>
    <n v="17.8"/>
  </r>
  <r>
    <s v="805-86-0265"/>
    <x v="1"/>
    <x v="1"/>
    <x v="1"/>
    <x v="0"/>
    <x v="3"/>
    <n v="93.96"/>
    <n v="9"/>
    <n v="42.281999999999996"/>
    <x v="961"/>
    <x v="34"/>
    <x v="40"/>
    <x v="0"/>
    <n v="845.64"/>
    <n v="4.7619047620000003"/>
    <n v="42.281999999999996"/>
    <n v="9.8000000000000007"/>
  </r>
  <r>
    <s v="450-42-3339"/>
    <x v="0"/>
    <x v="1"/>
    <x v="1"/>
    <x v="0"/>
    <x v="4"/>
    <n v="84.61"/>
    <n v="10"/>
    <n v="42.305"/>
    <x v="962"/>
    <x v="14"/>
    <x v="17"/>
    <x v="0"/>
    <n v="846.1"/>
    <n v="4.7619047620000003"/>
    <n v="42.305"/>
    <n v="8.8000000000000007"/>
  </r>
  <r>
    <s v="432-35-6675"/>
    <x v="0"/>
    <x v="1"/>
    <x v="1"/>
    <x v="0"/>
    <x v="2"/>
    <n v="84.61"/>
    <n v="10"/>
    <n v="42.305"/>
    <x v="962"/>
    <x v="14"/>
    <x v="17"/>
    <x v="0"/>
    <n v="846.1"/>
    <n v="4.7619047620000003"/>
    <n v="42.305"/>
    <n v="8.8000000000000007"/>
  </r>
  <r>
    <s v="321-41-7523"/>
    <x v="0"/>
    <x v="1"/>
    <x v="1"/>
    <x v="0"/>
    <x v="2"/>
    <n v="84.61"/>
    <n v="10"/>
    <n v="42.305"/>
    <x v="962"/>
    <x v="14"/>
    <x v="17"/>
    <x v="0"/>
    <n v="846.1"/>
    <n v="4.7619047620000003"/>
    <n v="42.305"/>
    <n v="8.8000000000000007"/>
  </r>
  <r>
    <s v="746-04-1077"/>
    <x v="2"/>
    <x v="1"/>
    <x v="0"/>
    <x v="1"/>
    <x v="2"/>
    <n v="84.63"/>
    <n v="10"/>
    <n v="42.314999999999998"/>
    <x v="963"/>
    <x v="85"/>
    <x v="212"/>
    <x v="0"/>
    <n v="846.3"/>
    <n v="4.7619047620000003"/>
    <n v="42.314999999999998"/>
    <n v="9"/>
  </r>
  <r>
    <s v="872-66-7584"/>
    <x v="2"/>
    <x v="1"/>
    <x v="0"/>
    <x v="0"/>
    <x v="2"/>
    <n v="84.63"/>
    <n v="10"/>
    <n v="42.314999999999998"/>
    <x v="963"/>
    <x v="85"/>
    <x v="212"/>
    <x v="2"/>
    <n v="846.3"/>
    <n v="4.7619047620000003"/>
    <n v="42.314999999999998"/>
    <n v="9"/>
  </r>
  <r>
    <s v="193-68-1358"/>
    <x v="0"/>
    <x v="0"/>
    <x v="0"/>
    <x v="1"/>
    <x v="2"/>
    <n v="87.1"/>
    <n v="10"/>
    <n v="43.55"/>
    <x v="964"/>
    <x v="41"/>
    <x v="501"/>
    <x v="2"/>
    <n v="871"/>
    <n v="4.7619047620000003"/>
    <n v="43.55"/>
    <n v="9.9"/>
  </r>
  <r>
    <s v="641-51-2661"/>
    <x v="0"/>
    <x v="0"/>
    <x v="0"/>
    <x v="1"/>
    <x v="2"/>
    <n v="87.1"/>
    <n v="10"/>
    <n v="43.55"/>
    <x v="964"/>
    <x v="41"/>
    <x v="501"/>
    <x v="2"/>
    <n v="871"/>
    <n v="4.7619047620000003"/>
    <n v="43.55"/>
    <n v="9.9"/>
  </r>
  <r>
    <s v="843-19-2838"/>
    <x v="0"/>
    <x v="0"/>
    <x v="0"/>
    <x v="1"/>
    <x v="2"/>
    <n v="87.1"/>
    <n v="10"/>
    <n v="43.55"/>
    <x v="964"/>
    <x v="41"/>
    <x v="501"/>
    <x v="2"/>
    <n v="871"/>
    <n v="4.7619047620000003"/>
    <n v="43.55"/>
    <n v="17.899999999999999"/>
  </r>
  <r>
    <s v="743-04-1105"/>
    <x v="2"/>
    <x v="1"/>
    <x v="0"/>
    <x v="0"/>
    <x v="4"/>
    <n v="97.22"/>
    <n v="9"/>
    <n v="43.749000000000002"/>
    <x v="965"/>
    <x v="80"/>
    <x v="73"/>
    <x v="1"/>
    <n v="874.98"/>
    <n v="4.7619047620000003"/>
    <n v="43.749000000000002"/>
    <n v="6"/>
  </r>
  <r>
    <s v="139-32-4183"/>
    <x v="1"/>
    <x v="1"/>
    <x v="0"/>
    <x v="1"/>
    <x v="0"/>
    <n v="97.48"/>
    <n v="9"/>
    <n v="43.866"/>
    <x v="966"/>
    <x v="45"/>
    <x v="267"/>
    <x v="0"/>
    <n v="877.32"/>
    <n v="4.7619047620000003"/>
    <n v="43.866"/>
    <n v="7.4"/>
  </r>
  <r>
    <s v="261-51-5044"/>
    <x v="1"/>
    <x v="2"/>
    <x v="0"/>
    <x v="0"/>
    <x v="0"/>
    <n v="97.48"/>
    <n v="9"/>
    <n v="43.866"/>
    <x v="966"/>
    <x v="45"/>
    <x v="267"/>
    <x v="1"/>
    <n v="877.32"/>
    <n v="4.7619047620000003"/>
    <n v="43.866"/>
    <n v="7.4"/>
  </r>
  <r>
    <s v="766-85-7061"/>
    <x v="2"/>
    <x v="1"/>
    <x v="1"/>
    <x v="0"/>
    <x v="4"/>
    <n v="87.87"/>
    <n v="10"/>
    <n v="43.935000000000002"/>
    <x v="967"/>
    <x v="86"/>
    <x v="91"/>
    <x v="1"/>
    <n v="878.7"/>
    <n v="4.7619047620000003"/>
    <n v="43.935000000000002"/>
    <n v="5.0999999999999996"/>
  </r>
  <r>
    <s v="731-29-5327"/>
    <x v="1"/>
    <x v="2"/>
    <x v="1"/>
    <x v="0"/>
    <x v="0"/>
    <n v="98.09"/>
    <n v="9"/>
    <n v="44.140500000000003"/>
    <x v="968"/>
    <x v="58"/>
    <x v="502"/>
    <x v="0"/>
    <n v="882.81"/>
    <n v="4.7619047620000003"/>
    <n v="44.140500000000003"/>
    <n v="9.3000000000000007"/>
  </r>
  <r>
    <s v="827-77-7633"/>
    <x v="0"/>
    <x v="2"/>
    <x v="1"/>
    <x v="0"/>
    <x v="0"/>
    <n v="98.09"/>
    <n v="9"/>
    <n v="44.140500000000003"/>
    <x v="968"/>
    <x v="58"/>
    <x v="502"/>
    <x v="0"/>
    <n v="882.81"/>
    <n v="4.7619047620000003"/>
    <n v="44.140500000000003"/>
    <n v="9.3000000000000007"/>
  </r>
  <r>
    <s v="265-34-1832"/>
    <x v="1"/>
    <x v="2"/>
    <x v="0"/>
    <x v="0"/>
    <x v="5"/>
    <n v="88.67"/>
    <n v="10"/>
    <n v="44.335000000000001"/>
    <x v="969"/>
    <x v="22"/>
    <x v="503"/>
    <x v="1"/>
    <n v="886.7"/>
    <n v="4.7619047620000003"/>
    <n v="44.335000000000001"/>
    <n v="7.3"/>
  </r>
  <r>
    <s v="704-48-3927"/>
    <x v="1"/>
    <x v="2"/>
    <x v="0"/>
    <x v="0"/>
    <x v="5"/>
    <n v="88.67"/>
    <n v="10"/>
    <n v="44.335000000000001"/>
    <x v="969"/>
    <x v="22"/>
    <x v="503"/>
    <x v="1"/>
    <n v="886.7"/>
    <n v="4.7619047620000003"/>
    <n v="44.335000000000001"/>
    <n v="7.3"/>
  </r>
  <r>
    <s v="384-59-6655"/>
    <x v="1"/>
    <x v="2"/>
    <x v="0"/>
    <x v="1"/>
    <x v="2"/>
    <n v="98.66"/>
    <n v="9"/>
    <n v="44.396999999999998"/>
    <x v="970"/>
    <x v="87"/>
    <x v="469"/>
    <x v="0"/>
    <n v="887.94"/>
    <n v="4.7619047620000003"/>
    <n v="44.396999999999998"/>
    <n v="8.4"/>
  </r>
  <r>
    <s v="974-84-6258"/>
    <x v="1"/>
    <x v="1"/>
    <x v="0"/>
    <x v="0"/>
    <x v="2"/>
    <n v="98.66"/>
    <n v="9"/>
    <n v="44.396999999999998"/>
    <x v="970"/>
    <x v="87"/>
    <x v="469"/>
    <x v="0"/>
    <n v="887.94"/>
    <n v="4.7619047620000003"/>
    <n v="44.396999999999998"/>
    <n v="8.4"/>
  </r>
  <r>
    <s v="604-46-7906"/>
    <x v="0"/>
    <x v="2"/>
    <x v="0"/>
    <x v="0"/>
    <x v="2"/>
    <n v="98.66"/>
    <n v="9"/>
    <n v="44.396999999999998"/>
    <x v="970"/>
    <x v="87"/>
    <x v="469"/>
    <x v="0"/>
    <n v="887.94"/>
    <n v="4.7619047620000003"/>
    <n v="44.396999999999998"/>
    <n v="8.4"/>
  </r>
  <r>
    <s v="277-35-5865"/>
    <x v="0"/>
    <x v="0"/>
    <x v="0"/>
    <x v="1"/>
    <x v="2"/>
    <n v="98.97"/>
    <n v="9"/>
    <n v="44.536499999999997"/>
    <x v="971"/>
    <x v="8"/>
    <x v="442"/>
    <x v="0"/>
    <n v="890.73"/>
    <n v="4.7619047620000003"/>
    <n v="44.536499999999997"/>
    <n v="6.7"/>
  </r>
  <r>
    <s v="748-89-4432"/>
    <x v="0"/>
    <x v="0"/>
    <x v="0"/>
    <x v="1"/>
    <x v="2"/>
    <n v="98.97"/>
    <n v="9"/>
    <n v="44.536499999999997"/>
    <x v="971"/>
    <x v="8"/>
    <x v="442"/>
    <x v="0"/>
    <n v="890.73"/>
    <n v="4.7619047620000003"/>
    <n v="44.536499999999997"/>
    <n v="6.7"/>
  </r>
  <r>
    <s v="822-35-9863"/>
    <x v="1"/>
    <x v="0"/>
    <x v="0"/>
    <x v="1"/>
    <x v="2"/>
    <n v="98.97"/>
    <n v="9"/>
    <n v="44.536499999999997"/>
    <x v="971"/>
    <x v="8"/>
    <x v="442"/>
    <x v="1"/>
    <n v="890.73"/>
    <n v="4.7619047620000003"/>
    <n v="44.536499999999997"/>
    <n v="6.7"/>
  </r>
  <r>
    <s v="365-46-4304"/>
    <x v="0"/>
    <x v="0"/>
    <x v="1"/>
    <x v="0"/>
    <x v="2"/>
    <n v="89.2"/>
    <n v="10"/>
    <n v="44.6"/>
    <x v="972"/>
    <x v="88"/>
    <x v="170"/>
    <x v="0"/>
    <n v="892"/>
    <n v="4.7619047620000003"/>
    <n v="44.6"/>
    <n v="4.4000000000000004"/>
  </r>
  <r>
    <s v="866-99-7614"/>
    <x v="0"/>
    <x v="1"/>
    <x v="1"/>
    <x v="0"/>
    <x v="2"/>
    <n v="89.2"/>
    <n v="10"/>
    <n v="44.6"/>
    <x v="972"/>
    <x v="88"/>
    <x v="170"/>
    <x v="2"/>
    <n v="892"/>
    <n v="4.7619047620000003"/>
    <n v="44.6"/>
    <n v="4.4000000000000004"/>
  </r>
  <r>
    <s v="450-76-1964"/>
    <x v="0"/>
    <x v="0"/>
    <x v="1"/>
    <x v="0"/>
    <x v="2"/>
    <n v="89.2"/>
    <n v="10"/>
    <n v="44.6"/>
    <x v="972"/>
    <x v="88"/>
    <x v="170"/>
    <x v="0"/>
    <n v="892"/>
    <n v="4.7619047620000003"/>
    <n v="44.6"/>
    <n v="4.4000000000000004"/>
  </r>
  <r>
    <s v="236-34-2889"/>
    <x v="0"/>
    <x v="0"/>
    <x v="1"/>
    <x v="0"/>
    <x v="0"/>
    <n v="99.24"/>
    <n v="9"/>
    <n v="44.658000000000001"/>
    <x v="973"/>
    <x v="7"/>
    <x v="116"/>
    <x v="1"/>
    <n v="893.16"/>
    <n v="4.7619047620000003"/>
    <n v="44.658000000000001"/>
    <n v="9"/>
  </r>
  <r>
    <s v="751-69-0068"/>
    <x v="0"/>
    <x v="0"/>
    <x v="1"/>
    <x v="0"/>
    <x v="0"/>
    <n v="99.24"/>
    <n v="9"/>
    <n v="44.658000000000001"/>
    <x v="973"/>
    <x v="7"/>
    <x v="116"/>
    <x v="1"/>
    <n v="893.16"/>
    <n v="4.7619047620000003"/>
    <n v="44.658000000000001"/>
    <n v="9"/>
  </r>
  <r>
    <s v="393-65-2792"/>
    <x v="0"/>
    <x v="0"/>
    <x v="1"/>
    <x v="0"/>
    <x v="2"/>
    <n v="89.48"/>
    <n v="10"/>
    <n v="44.74"/>
    <x v="974"/>
    <x v="5"/>
    <x v="305"/>
    <x v="0"/>
    <n v="894.8"/>
    <n v="4.7619047620000003"/>
    <n v="44.74"/>
    <n v="9.6"/>
  </r>
  <r>
    <s v="555-33-1909"/>
    <x v="0"/>
    <x v="0"/>
    <x v="1"/>
    <x v="0"/>
    <x v="2"/>
    <n v="89.48"/>
    <n v="10"/>
    <n v="44.74"/>
    <x v="974"/>
    <x v="5"/>
    <x v="305"/>
    <x v="2"/>
    <n v="894.8"/>
    <n v="4.7619047620000003"/>
    <n v="44.74"/>
    <n v="9.6"/>
  </r>
  <r>
    <s v="258-61-1614"/>
    <x v="0"/>
    <x v="0"/>
    <x v="1"/>
    <x v="0"/>
    <x v="2"/>
    <n v="89.48"/>
    <n v="10"/>
    <n v="44.74"/>
    <x v="974"/>
    <x v="5"/>
    <x v="305"/>
    <x v="0"/>
    <n v="894.8"/>
    <n v="4.7619047620000003"/>
    <n v="44.74"/>
    <n v="9.6"/>
  </r>
  <r>
    <s v="163-51-6674"/>
    <x v="2"/>
    <x v="1"/>
    <x v="1"/>
    <x v="0"/>
    <x v="5"/>
    <n v="99.73"/>
    <n v="9"/>
    <n v="44.878500000000003"/>
    <x v="975"/>
    <x v="23"/>
    <x v="159"/>
    <x v="2"/>
    <n v="897.57"/>
    <n v="4.7619047620000003"/>
    <n v="44.878500000000003"/>
    <n v="6.5"/>
  </r>
  <r>
    <s v="817-69-8206"/>
    <x v="2"/>
    <x v="1"/>
    <x v="1"/>
    <x v="0"/>
    <x v="5"/>
    <n v="99.73"/>
    <n v="9"/>
    <n v="44.878500000000003"/>
    <x v="975"/>
    <x v="23"/>
    <x v="159"/>
    <x v="2"/>
    <n v="897.57"/>
    <n v="4.7619047620000003"/>
    <n v="44.878500000000003"/>
    <n v="6.5"/>
  </r>
  <r>
    <s v="731-81-9469"/>
    <x v="0"/>
    <x v="0"/>
    <x v="0"/>
    <x v="0"/>
    <x v="0"/>
    <n v="89.8"/>
    <n v="10"/>
    <n v="44.9"/>
    <x v="976"/>
    <x v="27"/>
    <x v="404"/>
    <x v="2"/>
    <n v="898"/>
    <n v="4.7619047620000003"/>
    <n v="44.9"/>
    <n v="5.4"/>
  </r>
  <r>
    <s v="702-83-5291"/>
    <x v="0"/>
    <x v="0"/>
    <x v="0"/>
    <x v="0"/>
    <x v="1"/>
    <n v="99.82"/>
    <n v="9"/>
    <n v="44.918999999999997"/>
    <x v="977"/>
    <x v="82"/>
    <x v="228"/>
    <x v="0"/>
    <n v="898.38"/>
    <n v="4.7619047620000003"/>
    <n v="44.918999999999997"/>
    <n v="6.6"/>
  </r>
  <r>
    <s v="219-22-9386"/>
    <x v="2"/>
    <x v="1"/>
    <x v="0"/>
    <x v="0"/>
    <x v="0"/>
    <n v="99.96"/>
    <n v="9"/>
    <n v="44.981999999999999"/>
    <x v="978"/>
    <x v="8"/>
    <x v="459"/>
    <x v="2"/>
    <n v="899.64"/>
    <n v="4.7619047620000003"/>
    <n v="44.981999999999999"/>
    <n v="4.2"/>
  </r>
  <r>
    <s v="280-17-4359"/>
    <x v="0"/>
    <x v="0"/>
    <x v="0"/>
    <x v="0"/>
    <x v="4"/>
    <n v="90.5"/>
    <n v="10"/>
    <n v="45.25"/>
    <x v="979"/>
    <x v="6"/>
    <x v="119"/>
    <x v="0"/>
    <n v="905"/>
    <n v="4.7619047620000003"/>
    <n v="45.25"/>
    <n v="8.1"/>
  </r>
  <r>
    <s v="573-31-7064"/>
    <x v="1"/>
    <x v="0"/>
    <x v="0"/>
    <x v="0"/>
    <x v="2"/>
    <n v="90.5"/>
    <n v="10"/>
    <n v="45.25"/>
    <x v="979"/>
    <x v="6"/>
    <x v="119"/>
    <x v="1"/>
    <n v="905"/>
    <n v="4.7619047620000003"/>
    <n v="45.25"/>
    <n v="8.1"/>
  </r>
  <r>
    <s v="325-77-6186"/>
    <x v="0"/>
    <x v="2"/>
    <x v="0"/>
    <x v="1"/>
    <x v="3"/>
    <n v="90.65"/>
    <n v="10"/>
    <n v="45.325000000000003"/>
    <x v="980"/>
    <x v="66"/>
    <x v="296"/>
    <x v="0"/>
    <n v="906.5"/>
    <n v="4.7619047620000003"/>
    <n v="45.325000000000003"/>
    <n v="7.3"/>
  </r>
  <r>
    <s v="677-88-1371"/>
    <x v="0"/>
    <x v="2"/>
    <x v="0"/>
    <x v="1"/>
    <x v="3"/>
    <n v="90.65"/>
    <n v="10"/>
    <n v="45.325000000000003"/>
    <x v="980"/>
    <x v="66"/>
    <x v="296"/>
    <x v="0"/>
    <n v="906.5"/>
    <n v="4.7619047620000003"/>
    <n v="45.325000000000003"/>
    <n v="7.3"/>
  </r>
  <r>
    <s v="554-42-2417"/>
    <x v="0"/>
    <x v="1"/>
    <x v="1"/>
    <x v="1"/>
    <x v="0"/>
    <n v="95.44"/>
    <n v="10"/>
    <n v="47.72"/>
    <x v="981"/>
    <x v="62"/>
    <x v="203"/>
    <x v="0"/>
    <n v="954.4"/>
    <n v="4.7619047620000003"/>
    <n v="47.72"/>
    <n v="5.2"/>
  </r>
  <r>
    <s v="234-65-2137"/>
    <x v="0"/>
    <x v="0"/>
    <x v="1"/>
    <x v="0"/>
    <x v="3"/>
    <n v="95.58"/>
    <n v="10"/>
    <n v="47.79"/>
    <x v="982"/>
    <x v="30"/>
    <x v="176"/>
    <x v="0"/>
    <n v="955.8"/>
    <n v="4.7619047620000003"/>
    <n v="47.79"/>
    <n v="4.8"/>
  </r>
  <r>
    <s v="271-88-8734"/>
    <x v="0"/>
    <x v="0"/>
    <x v="0"/>
    <x v="1"/>
    <x v="1"/>
    <n v="97.21"/>
    <n v="10"/>
    <n v="48.604999999999997"/>
    <x v="983"/>
    <x v="13"/>
    <x v="404"/>
    <x v="2"/>
    <n v="972.1"/>
    <n v="4.7619047620000003"/>
    <n v="48.604999999999997"/>
    <n v="8.6999999999999993"/>
  </r>
  <r>
    <s v="469-63-7221"/>
    <x v="0"/>
    <x v="0"/>
    <x v="0"/>
    <x v="0"/>
    <x v="1"/>
    <n v="97.21"/>
    <n v="10"/>
    <n v="48.604999999999997"/>
    <x v="983"/>
    <x v="13"/>
    <x v="404"/>
    <x v="2"/>
    <n v="972.1"/>
    <n v="4.7619047620000003"/>
    <n v="48.604999999999997"/>
    <n v="8.6999999999999993"/>
  </r>
  <r>
    <s v="744-16-7898"/>
    <x v="2"/>
    <x v="1"/>
    <x v="1"/>
    <x v="1"/>
    <x v="3"/>
    <n v="97.37"/>
    <n v="10"/>
    <n v="48.685000000000002"/>
    <x v="984"/>
    <x v="67"/>
    <x v="119"/>
    <x v="2"/>
    <n v="973.7"/>
    <n v="4.7619047620000003"/>
    <n v="48.685000000000002"/>
    <n v="4.9000000000000004"/>
  </r>
  <r>
    <s v="303-96-2227"/>
    <x v="2"/>
    <x v="1"/>
    <x v="1"/>
    <x v="1"/>
    <x v="3"/>
    <n v="97.38"/>
    <n v="10"/>
    <n v="48.69"/>
    <x v="985"/>
    <x v="23"/>
    <x v="149"/>
    <x v="0"/>
    <n v="973.8"/>
    <n v="4.7619047620000003"/>
    <n v="48.69"/>
    <n v="4.4000000000000004"/>
  </r>
  <r>
    <s v="431-47-4785"/>
    <x v="1"/>
    <x v="1"/>
    <x v="1"/>
    <x v="1"/>
    <x v="3"/>
    <n v="97.38"/>
    <n v="10"/>
    <n v="48.69"/>
    <x v="985"/>
    <x v="23"/>
    <x v="149"/>
    <x v="0"/>
    <n v="973.8"/>
    <n v="4.7619047620000003"/>
    <n v="48.69"/>
    <n v="4.4000000000000004"/>
  </r>
  <r>
    <s v="751-41-9720"/>
    <x v="0"/>
    <x v="0"/>
    <x v="1"/>
    <x v="0"/>
    <x v="3"/>
    <n v="97.5"/>
    <n v="10"/>
    <n v="48.75"/>
    <x v="986"/>
    <x v="22"/>
    <x v="504"/>
    <x v="1"/>
    <n v="975"/>
    <n v="4.7619047620000003"/>
    <n v="48.75"/>
    <n v="8"/>
  </r>
  <r>
    <s v="283-26-5248"/>
    <x v="0"/>
    <x v="0"/>
    <x v="0"/>
    <x v="1"/>
    <x v="2"/>
    <n v="98.52"/>
    <n v="10"/>
    <n v="49.26"/>
    <x v="987"/>
    <x v="15"/>
    <x v="196"/>
    <x v="0"/>
    <n v="985.2"/>
    <n v="4.7619047620000003"/>
    <n v="49.26"/>
    <n v="4.5"/>
  </r>
  <r>
    <s v="764-71-2361"/>
    <x v="0"/>
    <x v="0"/>
    <x v="0"/>
    <x v="1"/>
    <x v="2"/>
    <n v="98.52"/>
    <n v="10"/>
    <n v="49.26"/>
    <x v="987"/>
    <x v="15"/>
    <x v="196"/>
    <x v="1"/>
    <n v="985.2"/>
    <n v="4.7619047620000003"/>
    <n v="49.26"/>
    <n v="4.5"/>
  </r>
  <r>
    <s v="172-55-8879"/>
    <x v="1"/>
    <x v="0"/>
    <x v="0"/>
    <x v="1"/>
    <x v="2"/>
    <n v="98.52"/>
    <n v="10"/>
    <n v="49.26"/>
    <x v="987"/>
    <x v="15"/>
    <x v="196"/>
    <x v="1"/>
    <n v="985.2"/>
    <n v="4.7619047620000003"/>
    <n v="49.26"/>
    <n v="4.5"/>
  </r>
  <r>
    <s v="687-47-8271"/>
    <x v="1"/>
    <x v="2"/>
    <x v="1"/>
    <x v="0"/>
    <x v="1"/>
    <n v="98.98"/>
    <n v="10"/>
    <n v="49.49"/>
    <x v="988"/>
    <x v="13"/>
    <x v="505"/>
    <x v="2"/>
    <n v="989.8"/>
    <n v="4.7619047620000003"/>
    <n v="49.49"/>
    <n v="8.6999999999999993"/>
  </r>
  <r>
    <s v="682-13-5569"/>
    <x v="1"/>
    <x v="2"/>
    <x v="1"/>
    <x v="0"/>
    <x v="1"/>
    <n v="98.98"/>
    <n v="10"/>
    <n v="49.49"/>
    <x v="988"/>
    <x v="13"/>
    <x v="505"/>
    <x v="2"/>
    <n v="989.8"/>
    <n v="4.7619047620000003"/>
    <n v="49.49"/>
    <n v="18"/>
  </r>
  <r>
    <s v="166-98-4810"/>
    <x v="0"/>
    <x v="0"/>
    <x v="0"/>
    <x v="0"/>
    <x v="1"/>
    <n v="99.3"/>
    <n v="10"/>
    <n v="49.65"/>
    <x v="989"/>
    <x v="74"/>
    <x v="95"/>
    <x v="2"/>
    <n v="993"/>
    <n v="4.7619047620000003"/>
    <n v="49.65"/>
    <n v="6.6"/>
  </r>
  <r>
    <s v="860-79-0874"/>
    <x v="0"/>
    <x v="1"/>
    <x v="1"/>
    <x v="1"/>
    <x v="2"/>
    <n v="99.3"/>
    <n v="10"/>
    <n v="49.65"/>
    <x v="989"/>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C840A-D618-47B3-A940-008E29BBCD0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6:AD33" firstHeaderRow="1" firstDataRow="1" firstDataCol="0"/>
  <pivotFields count="21">
    <pivotField showAll="0"/>
    <pivotField showAll="0"/>
    <pivotField showAll="0"/>
    <pivotField showAll="0"/>
    <pivotField showAll="0"/>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84DEC4-7654-4C7B-A38C-D748A8012C7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1:Z28" firstHeaderRow="1" firstDataRow="1" firstDataCol="0"/>
  <pivotFields count="21">
    <pivotField showAll="0"/>
    <pivotField showAll="0"/>
    <pivotField showAll="0"/>
    <pivotField showAll="0"/>
    <pivotField showAll="0"/>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31692-AAD0-48D2-8581-4B5975474E8A}"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1:Q14" firstHeaderRow="1" firstDataRow="1" firstDataCol="1"/>
  <pivotFields count="21">
    <pivotField showAll="0"/>
    <pivotField showAll="0"/>
    <pivotField showAll="0"/>
    <pivotField showAll="0"/>
    <pivotField axis="axisRow" showAll="0">
      <items count="3">
        <item x="1"/>
        <item x="0"/>
        <item t="default"/>
      </items>
    </pivotField>
    <pivotField showAll="0"/>
    <pivotField showAll="0"/>
    <pivotField showAll="0"/>
    <pivotField showAll="0"/>
    <pivotField dataField="1" showAll="0">
      <items count="9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t="default"/>
      </items>
    </pivotField>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1BE595-F87F-4016-8C7E-F8C4C0ECE84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10:C114"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B9B504-1792-45A7-823A-4BD555F7BED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C15" firstHeaderRow="1" firstDataRow="1" firstDataCol="1"/>
  <pivotFields count="21">
    <pivotField showAll="0"/>
    <pivotField axis="axisRow" showAll="0">
      <items count="4">
        <item x="1"/>
        <item x="2"/>
        <item x="0"/>
        <item t="default"/>
      </items>
    </pivotField>
    <pivotField showAll="0"/>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F9AD32-075B-4339-943B-E239418F19C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7:C124" firstHeaderRow="1" firstDataRow="1" firstDataCol="1"/>
  <pivotFields count="21">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CF874A-E1ED-4A95-9838-818A7452A24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G17" firstHeaderRow="1" firstDataRow="1" firstDataCol="1"/>
  <pivotFields count="21">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BB6DD4-93A4-499D-A5E3-3F71F7DA3ADC}"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6"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196BAA-AA89-4D61-A64A-D72055A7770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8" firstHeaderRow="1" firstDataRow="1" firstDataCol="1"/>
  <pivotFields count="21">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E2228F-C1AD-4574-9331-851A13352BF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7:G147"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90FBB9-D398-46B1-9003-7F7E3A158B8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K25" firstHeaderRow="1" firstDataRow="1" firstDataCol="0"/>
  <pivotFields count="21">
    <pivotField dataField="1" showAll="0"/>
    <pivotField showAll="0"/>
    <pivotField showAll="0"/>
    <pivotField showAll="0"/>
    <pivotField showAll="0"/>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D93D1A-8234-4C21-B3A9-98E9A508274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1:G45" firstHeaderRow="1" firstDataRow="1" firstDataCol="1"/>
  <pivotFields count="21">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415067-137D-4B41-A80A-AE16210888D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11"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16E44D-0F51-4166-8C64-734707EF1C8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I28" firstHeaderRow="1" firstDataRow="2" firstDataCol="1"/>
  <pivotFields count="21">
    <pivotField showAll="0"/>
    <pivotField showAll="0"/>
    <pivotField showAll="0"/>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28AB0D-103E-436F-97D6-10E05D7E325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1:G38" firstHeaderRow="1" firstDataRow="1" firstDataCol="1"/>
  <pivotFields count="21">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97C7637-D50F-4718-BD36-9DB38793DBC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7:H54" firstHeaderRow="0" firstDataRow="1" firstDataCol="1"/>
  <pivotFields count="21">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C04F31B-5BF4-4FAB-8E42-80CBCE3E8777}"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18:C108"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axis="axisRow" numFmtId="164" showAll="0" sortType="ascending">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6" name="Date">
      <autoFilter ref="A1">
        <filterColumn colId="0">
          <customFilters and="1">
            <customFilter operator="greaterThanOrEqual" val="43466"/>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E5DBD4F-BBB9-42C8-94B1-A825870D830F}" sourceName="Product line">
  <pivotTables>
    <pivotTable tabId="2" name="PivotTable6"/>
  </pivotTables>
  <data>
    <tabular pivotCacheId="1177930501">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213471-97AD-4B4C-BB72-C3B558BB4140}" sourceName="City">
  <pivotTables>
    <pivotTable tabId="2" name="PivotTable6"/>
  </pivotTables>
  <data>
    <tabular pivotCacheId="117793050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7000963-29CB-43B7-AF3B-76F1DD7C74CA}" sourceName="Branch">
  <pivotTables>
    <pivotTable tabId="2" name="PivotTable6"/>
  </pivotTables>
  <data>
    <tabular pivotCacheId="117793050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3282FBB-87AB-4E33-AD6B-12F7D5B90A06}" sourceName="Gender">
  <pivotTables>
    <pivotTable tabId="2" name="PivotTable15"/>
  </pivotTables>
  <data>
    <tabular pivotCacheId="117793050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45D6F2CB-71FD-4A00-92E1-A3CD81EA5410}" sourceName="Total">
  <pivotTables>
    <pivotTable tabId="2" name="PivotTable15"/>
  </pivotTables>
  <data>
    <tabular pivotCacheId="1177930501">
      <items count="99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EC2F48-A095-4EB2-9F2F-AFFDAB7EA736}" cache="Slicer_Gender" caption="Gender" style="Slicer Style 1" rowHeight="209550"/>
  <slicer name="Total" xr10:uid="{EE91FE09-4CE2-4BBA-9BB3-A315E5B0CDAE}" cache="Slicer_Total" caption="Total"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7877C914-F95B-4051-94A0-DF78ECE29587}" cache="Slicer_Product_line" caption="Product line" style="Slicer Style 1" rowHeight="209550"/>
  <slicer name="City" xr10:uid="{63631F04-AAD4-43AD-9ADF-364E138CE1BC}" cache="Slicer_City" caption="City" style="Slicer Style 1" rowHeight="209550"/>
  <slicer name="Branch" xr10:uid="{CC744A7D-C2FB-4D9E-B884-4EAA37C8EE45}" cache="Slicer_Branch" caption="Branch" style="Slicer Style 1" rowHeight="209550"/>
  <slicer name="Gender 1" xr10:uid="{A672F063-1B6D-442B-BD23-7CBF6096CFAB}" cache="Slicer_Gender" caption="Gender" style="Slicer Style 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5C7D13-1DD8-4514-A746-B407F0DBCD99}" name="sales" displayName="sales" ref="A1:Q2065" totalsRowShown="0" headerRowDxfId="26" dataDxfId="25">
  <autoFilter ref="A1:Q2065" xr:uid="{775C7D13-1DD8-4514-A746-B407F0DBCD99}"/>
  <tableColumns count="17">
    <tableColumn id="1" xr3:uid="{665CC355-32C6-4BDC-B159-8020C8942212}" name="Invoice ID" dataDxfId="24"/>
    <tableColumn id="2" xr3:uid="{42F1196A-4D5D-4BE4-8F32-14F9D79BE201}" name="Branch" dataDxfId="23"/>
    <tableColumn id="3" xr3:uid="{013679CB-1F69-4067-9BFA-BEF70CD54644}" name="City" dataDxfId="22"/>
    <tableColumn id="4" xr3:uid="{4C57A0DF-38A4-445C-BE34-754DFB38B3AD}" name="Customer type" dataDxfId="21"/>
    <tableColumn id="5" xr3:uid="{7FE05BD5-5667-4CB6-9A45-BDAF3AE0BFDB}" name="Gender" dataDxfId="20"/>
    <tableColumn id="6" xr3:uid="{1776B389-377B-40DF-8D3F-E53DF51C5A10}" name="Product line" dataDxfId="19"/>
    <tableColumn id="7" xr3:uid="{25A4F7A2-AE29-4C84-98BB-619C0E08444A}" name="Unit price" dataDxfId="18"/>
    <tableColumn id="8" xr3:uid="{5281D3BD-1629-49E4-9730-E4534FF49349}" name="Quantity" dataDxfId="17"/>
    <tableColumn id="9" xr3:uid="{BD0B89A5-5E68-4BBD-BBDC-82D5C1F02C21}" name="Tax 5%" dataDxfId="16"/>
    <tableColumn id="10" xr3:uid="{DBB66E03-D22A-49C5-B313-234B3677F6EF}" name="Total" dataDxfId="15"/>
    <tableColumn id="11" xr3:uid="{4A52AD84-E8C2-428A-BD22-A961447E74CA}" name="Date" dataDxfId="14"/>
    <tableColumn id="12" xr3:uid="{F7F567F5-0B7B-4F70-8244-CF73231CE59C}" name="Time" dataDxfId="13"/>
    <tableColumn id="13" xr3:uid="{F715BEA3-9023-4685-870A-6420E1693BB2}" name="Payment" dataDxfId="12"/>
    <tableColumn id="14" xr3:uid="{803F82B5-3438-4A3C-9838-0749B7BFD3DB}" name="cogs" dataDxfId="11"/>
    <tableColumn id="15" xr3:uid="{AFD830F1-80C8-4F4A-BAB2-BA527E9A29C9}" name="gross margin percentage" dataDxfId="10"/>
    <tableColumn id="16" xr3:uid="{DB112775-6C8D-4E58-AE81-110B98C1457B}" name="gross income" dataDxfId="9"/>
    <tableColumn id="17" xr3:uid="{A76EADB3-6484-49D0-A37F-D62EF4B18E61}" name="Rating" dataDxfId="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Custom 1">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311B694-5F5C-47A8-9C1E-8D73524D01DB}" sourceName="Date">
  <pivotTables>
    <pivotTable tabId="2" name="PivotTable3"/>
  </pivotTables>
  <state minimalRefreshVersion="6" lastRefreshVersion="6" pivotCacheId="1177930501" filterType="dateBetween">
    <selection startDate="2019-01-01T00:00:00" endDate="2019-03-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97D29E-73C8-4ADC-9B58-EE48696C0F64}" cache="NativeTimeline_Date" caption="Date" level="2" selectionLevel="1" scrollPosition="2019-05-18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A4B47DC-6838-4954-AA48-22C86184FAEC}" cache="NativeTimeline_Date" caption="Date" level="1" selectionLevel="1" scrollPosition="2019-01-01T00:00:00" style="Timeline Style 3"/>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pivotTable" Target="../pivotTables/pivotTable15.xml"/><Relationship Id="rId1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17" Type="http://schemas.openxmlformats.org/officeDocument/2006/relationships/drawing" Target="../drawings/drawing1.xml"/><Relationship Id="rId2" Type="http://schemas.openxmlformats.org/officeDocument/2006/relationships/pivotTable" Target="../pivotTables/pivotTable4.xml"/><Relationship Id="rId16" Type="http://schemas.openxmlformats.org/officeDocument/2006/relationships/printerSettings" Target="../printerSettings/printerSettings1.bin"/><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5" Type="http://schemas.openxmlformats.org/officeDocument/2006/relationships/pivotTable" Target="../pivotTables/pivotTable17.xml"/><Relationship Id="rId10" Type="http://schemas.openxmlformats.org/officeDocument/2006/relationships/pivotTable" Target="../pivotTables/pivotTable12.xml"/><Relationship Id="rId19" Type="http://schemas.microsoft.com/office/2011/relationships/timeline" Target="../timelines/timeline1.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openxmlformats.org/officeDocument/2006/relationships/pivotTable" Target="../pivotTables/pivotTable16.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2065"/>
  <sheetViews>
    <sheetView zoomScale="69" workbookViewId="0">
      <pane ySplit="1" topLeftCell="A2" activePane="bottomLeft" state="frozen"/>
      <selection pane="bottomLeft" activeCell="H13" sqref="H13"/>
    </sheetView>
  </sheetViews>
  <sheetFormatPr defaultColWidth="12.6640625" defaultRowHeight="15.75" customHeight="1" x14ac:dyDescent="0.25"/>
  <cols>
    <col min="4" max="4" width="15.88671875" customWidth="1"/>
    <col min="6" max="6" width="19.6640625" bestFit="1" customWidth="1"/>
    <col min="11" max="11" width="17" style="4" bestFit="1" customWidth="1"/>
    <col min="15" max="15" width="25" customWidth="1"/>
    <col min="16" max="16" width="14.77734375" customWidth="1"/>
    <col min="19" max="19" width="13.33203125" bestFit="1" customWidth="1"/>
    <col min="20" max="20" width="19.6640625" bestFit="1" customWidth="1"/>
    <col min="21" max="22" width="12" bestFit="1" customWidth="1"/>
    <col min="23" max="23" width="13.33203125" bestFit="1" customWidth="1"/>
    <col min="24" max="24" width="13.44140625" bestFit="1" customWidth="1"/>
    <col min="25" max="25" width="13.33203125" bestFit="1" customWidth="1"/>
    <col min="26" max="26" width="19.6640625" bestFit="1" customWidth="1"/>
    <col min="27" max="29" width="12" bestFit="1" customWidth="1"/>
    <col min="43" max="43" width="13.33203125" bestFit="1" customWidth="1"/>
    <col min="44" max="44" width="12" bestFit="1" customWidth="1"/>
    <col min="45" max="46" width="15.21875" bestFit="1" customWidth="1"/>
  </cols>
  <sheetData>
    <row r="1" spans="1:30"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
      <c r="S1" s="1"/>
      <c r="T1" s="1"/>
      <c r="U1" s="1"/>
    </row>
    <row r="2" spans="1:30"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c r="U2" s="5"/>
    </row>
    <row r="3" spans="1:30"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c r="U3" s="5"/>
    </row>
    <row r="4" spans="1:30"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row>
    <row r="5" spans="1:30"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row>
    <row r="6" spans="1:30"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row>
    <row r="7" spans="1:30"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row>
    <row r="8" spans="1:30"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row>
    <row r="9" spans="1:30"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row>
    <row r="10" spans="1:30"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row>
    <row r="11" spans="1:30"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c r="X11" s="13"/>
      <c r="Y11" s="14"/>
      <c r="Z11" s="15"/>
    </row>
    <row r="12" spans="1:30"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c r="X12" s="16"/>
      <c r="Y12" s="17"/>
      <c r="Z12" s="18"/>
    </row>
    <row r="13" spans="1:30"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c r="X13" s="16"/>
      <c r="Y13" s="17"/>
      <c r="Z13" s="18"/>
    </row>
    <row r="14" spans="1:30"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c r="X14" s="16"/>
      <c r="Y14" s="17"/>
      <c r="Z14" s="18"/>
    </row>
    <row r="15" spans="1:30"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c r="X15" s="16"/>
      <c r="Y15" s="17"/>
      <c r="Z15" s="18"/>
    </row>
    <row r="16" spans="1:30"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c r="X16" s="16"/>
      <c r="Y16" s="17"/>
      <c r="Z16" s="18"/>
      <c r="AB16" s="13"/>
      <c r="AC16" s="14"/>
      <c r="AD16" s="15"/>
    </row>
    <row r="17" spans="1:30"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c r="X17" s="16"/>
      <c r="Y17" s="17"/>
      <c r="Z17" s="18"/>
      <c r="AB17" s="16"/>
      <c r="AC17" s="17"/>
      <c r="AD17" s="18"/>
    </row>
    <row r="18" spans="1:30"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c r="X18" s="16"/>
      <c r="Y18" s="17"/>
      <c r="Z18" s="18"/>
      <c r="AB18" s="16"/>
      <c r="AC18" s="17"/>
      <c r="AD18" s="18"/>
    </row>
    <row r="19" spans="1:30"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c r="X19" s="16"/>
      <c r="Y19" s="17"/>
      <c r="Z19" s="18"/>
      <c r="AB19" s="16"/>
      <c r="AC19" s="17"/>
      <c r="AD19" s="18"/>
    </row>
    <row r="20" spans="1:30"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c r="X20" s="16"/>
      <c r="Y20" s="17"/>
      <c r="Z20" s="18"/>
      <c r="AB20" s="16"/>
      <c r="AC20" s="17"/>
      <c r="AD20" s="18"/>
    </row>
    <row r="21" spans="1:30"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c r="X21" s="16"/>
      <c r="Y21" s="17"/>
      <c r="Z21" s="18"/>
      <c r="AB21" s="16"/>
      <c r="AC21" s="17"/>
      <c r="AD21" s="18"/>
    </row>
    <row r="22" spans="1:30"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c r="X22" s="16"/>
      <c r="Y22" s="17"/>
      <c r="Z22" s="18"/>
      <c r="AB22" s="16"/>
      <c r="AC22" s="17"/>
      <c r="AD22" s="18"/>
    </row>
    <row r="23" spans="1:30"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c r="X23" s="16"/>
      <c r="Y23" s="17"/>
      <c r="Z23" s="18"/>
      <c r="AB23" s="16"/>
      <c r="AC23" s="17"/>
      <c r="AD23" s="18"/>
    </row>
    <row r="24" spans="1:30"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c r="X24" s="16"/>
      <c r="Y24" s="17"/>
      <c r="Z24" s="18"/>
      <c r="AB24" s="16"/>
      <c r="AC24" s="17"/>
      <c r="AD24" s="18"/>
    </row>
    <row r="25" spans="1:30"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c r="X25" s="16"/>
      <c r="Y25" s="17"/>
      <c r="Z25" s="18"/>
      <c r="AB25" s="16"/>
      <c r="AC25" s="17"/>
      <c r="AD25" s="18"/>
    </row>
    <row r="26" spans="1:30"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c r="X26" s="16"/>
      <c r="Y26" s="17"/>
      <c r="Z26" s="18"/>
      <c r="AB26" s="16"/>
      <c r="AC26" s="17"/>
      <c r="AD26" s="18"/>
    </row>
    <row r="27" spans="1:30"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c r="X27" s="16"/>
      <c r="Y27" s="17"/>
      <c r="Z27" s="18"/>
      <c r="AB27" s="16"/>
      <c r="AC27" s="17"/>
      <c r="AD27" s="18"/>
    </row>
    <row r="28" spans="1:30"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c r="X28" s="19"/>
      <c r="Y28" s="20"/>
      <c r="Z28" s="21"/>
      <c r="AB28" s="16"/>
      <c r="AC28" s="17"/>
      <c r="AD28" s="18"/>
    </row>
    <row r="29" spans="1:30"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c r="AB29" s="16"/>
      <c r="AC29" s="17"/>
      <c r="AD29" s="18"/>
    </row>
    <row r="30" spans="1:30"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c r="AB30" s="16"/>
      <c r="AC30" s="17"/>
      <c r="AD30" s="18"/>
    </row>
    <row r="31" spans="1:30"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c r="AB31" s="16"/>
      <c r="AC31" s="17"/>
      <c r="AD31" s="18"/>
    </row>
    <row r="32" spans="1:30"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c r="AB32" s="16"/>
      <c r="AC32" s="17"/>
      <c r="AD32" s="18"/>
    </row>
    <row r="33" spans="1:30"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c r="AB33" s="19"/>
      <c r="AC33" s="20"/>
      <c r="AD33" s="21"/>
    </row>
    <row r="34" spans="1:30"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c r="U34" s="5"/>
    </row>
    <row r="35" spans="1:30"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c r="U35" s="5"/>
    </row>
    <row r="36" spans="1:30"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c r="U36" s="5"/>
    </row>
    <row r="37" spans="1:30"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c r="U37" s="5"/>
    </row>
    <row r="38" spans="1:30"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c r="U38" s="5"/>
    </row>
    <row r="39" spans="1:30"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c r="U39" s="5"/>
    </row>
    <row r="40" spans="1:30"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c r="U40" s="5"/>
    </row>
    <row r="41" spans="1:30"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c r="U41" s="5"/>
    </row>
    <row r="42" spans="1:30"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c r="U42" s="5"/>
    </row>
    <row r="43" spans="1:30"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c r="U43" s="5"/>
    </row>
    <row r="44" spans="1:30"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c r="U44" s="5"/>
    </row>
    <row r="45" spans="1:30"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c r="U45" s="5"/>
    </row>
    <row r="46" spans="1:30"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c r="U46" s="5"/>
    </row>
    <row r="47" spans="1:30"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c r="U47" s="5"/>
    </row>
    <row r="48" spans="1:30"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c r="U48" s="5"/>
    </row>
    <row r="49" spans="1:21"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c r="U49" s="5"/>
    </row>
    <row r="50" spans="1:21"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c r="U50" s="5"/>
    </row>
    <row r="51" spans="1:21"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c r="U51" s="5"/>
    </row>
    <row r="52" spans="1:21"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c r="U52" s="5"/>
    </row>
    <row r="53" spans="1:21"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c r="U53" s="5"/>
    </row>
    <row r="54" spans="1:21"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c r="U54" s="5"/>
    </row>
    <row r="55" spans="1:21"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c r="U55" s="5"/>
    </row>
    <row r="56" spans="1:21"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c r="U56" s="5"/>
    </row>
    <row r="57" spans="1:21"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c r="U57" s="5"/>
    </row>
    <row r="58" spans="1:21"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c r="U58" s="5"/>
    </row>
    <row r="59" spans="1:21"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c r="U59" s="5"/>
    </row>
    <row r="60" spans="1:21"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c r="U60" s="5"/>
    </row>
    <row r="61" spans="1:21"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c r="U61" s="5"/>
    </row>
    <row r="62" spans="1:21"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c r="U62" s="5"/>
    </row>
    <row r="63" spans="1:21"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c r="U63" s="5"/>
    </row>
    <row r="64" spans="1:21"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c r="U64" s="5"/>
    </row>
    <row r="65" spans="1:21"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c r="U65" s="5"/>
    </row>
    <row r="66" spans="1:21"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c r="U66" s="5"/>
    </row>
    <row r="67" spans="1:21"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c r="U67" s="5"/>
    </row>
    <row r="68" spans="1:21"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c r="U68" s="5"/>
    </row>
    <row r="69" spans="1:21"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c r="U69" s="5"/>
    </row>
    <row r="70" spans="1:21"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c r="U70" s="5"/>
    </row>
    <row r="71" spans="1:21"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c r="U71" s="5"/>
    </row>
    <row r="72" spans="1:21"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c r="U72" s="5"/>
    </row>
    <row r="73" spans="1:21"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c r="U73" s="5"/>
    </row>
    <row r="74" spans="1:21"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c r="U74" s="5"/>
    </row>
    <row r="75" spans="1:21"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c r="U75" s="5"/>
    </row>
    <row r="76" spans="1:21"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c r="U76" s="5"/>
    </row>
    <row r="77" spans="1:21"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c r="U77" s="5"/>
    </row>
    <row r="78" spans="1:21"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c r="U78" s="5"/>
    </row>
    <row r="79" spans="1:21"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c r="U79" s="5"/>
    </row>
    <row r="80" spans="1:21"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c r="U80" s="5"/>
    </row>
    <row r="81" spans="1:21"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c r="U81" s="5"/>
    </row>
    <row r="82" spans="1:21"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c r="U82" s="5"/>
    </row>
    <row r="83" spans="1:21"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c r="U83" s="5"/>
    </row>
    <row r="84" spans="1:21"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c r="U84" s="5"/>
    </row>
    <row r="85" spans="1:21"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c r="U85" s="5"/>
    </row>
    <row r="86" spans="1:21"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c r="U86" s="5"/>
    </row>
    <row r="87" spans="1:21"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c r="U87" s="5"/>
    </row>
    <row r="88" spans="1:21"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c r="U88" s="5"/>
    </row>
    <row r="89" spans="1:21"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c r="U89" s="5"/>
    </row>
    <row r="90" spans="1:21"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c r="U90" s="5"/>
    </row>
    <row r="91" spans="1:21"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c r="U91" s="5"/>
    </row>
    <row r="92" spans="1:21"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c r="U92" s="5"/>
    </row>
    <row r="93" spans="1:21"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c r="U93" s="5"/>
    </row>
    <row r="94" spans="1:21"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c r="U94" s="5"/>
    </row>
    <row r="95" spans="1:21"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c r="U95" s="5"/>
    </row>
    <row r="96" spans="1:21"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c r="U96" s="5"/>
    </row>
    <row r="97" spans="1:21"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c r="U97" s="5"/>
    </row>
    <row r="98" spans="1:21"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c r="U98" s="5"/>
    </row>
    <row r="99" spans="1:21"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c r="U99" s="5"/>
    </row>
    <row r="100" spans="1:21"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c r="U100" s="5"/>
    </row>
    <row r="101" spans="1:21"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c r="U101" s="5"/>
    </row>
    <row r="102" spans="1:21"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c r="U102" s="5"/>
    </row>
    <row r="103" spans="1:21"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c r="U103" s="5"/>
    </row>
    <row r="104" spans="1:21"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c r="U104" s="5"/>
    </row>
    <row r="105" spans="1:21"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c r="U105" s="5"/>
    </row>
    <row r="106" spans="1:21"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c r="U106" s="5"/>
    </row>
    <row r="107" spans="1:21"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c r="U107" s="5"/>
    </row>
    <row r="108" spans="1:21"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c r="U108" s="5"/>
    </row>
    <row r="109" spans="1:21"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c r="U109" s="5"/>
    </row>
    <row r="110" spans="1:21"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c r="U110" s="5"/>
    </row>
    <row r="111" spans="1:21"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c r="U111" s="5"/>
    </row>
    <row r="112" spans="1:21"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c r="U112" s="5"/>
    </row>
    <row r="113" spans="1:21"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c r="U113" s="5"/>
    </row>
    <row r="114" spans="1:21"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c r="U114" s="5"/>
    </row>
    <row r="115" spans="1:21"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c r="U115" s="5"/>
    </row>
    <row r="116" spans="1:21"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c r="U116" s="5"/>
    </row>
    <row r="117" spans="1:21"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c r="U117" s="5"/>
    </row>
    <row r="118" spans="1:21"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c r="U118" s="5"/>
    </row>
    <row r="119" spans="1:21"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c r="U119" s="5"/>
    </row>
    <row r="120" spans="1:21"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c r="U120" s="5"/>
    </row>
    <row r="121" spans="1:21"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c r="U121" s="5"/>
    </row>
    <row r="122" spans="1:21"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c r="U122" s="5"/>
    </row>
    <row r="123" spans="1:21"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c r="U123" s="5"/>
    </row>
    <row r="124" spans="1:21"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c r="U124" s="5"/>
    </row>
    <row r="125" spans="1:21"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c r="U125" s="5"/>
    </row>
    <row r="126" spans="1:21"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c r="U126" s="5"/>
    </row>
    <row r="127" spans="1:21"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c r="U127" s="5"/>
    </row>
    <row r="128" spans="1:21"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c r="U128" s="5"/>
    </row>
    <row r="129" spans="1:21"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c r="U129" s="5"/>
    </row>
    <row r="130" spans="1:21"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c r="U130" s="5"/>
    </row>
    <row r="131" spans="1:21"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c r="U131" s="5"/>
    </row>
    <row r="132" spans="1:21"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c r="U132" s="5"/>
    </row>
    <row r="133" spans="1:21"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c r="U133" s="5"/>
    </row>
    <row r="134" spans="1:21"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c r="U134" s="5"/>
    </row>
    <row r="135" spans="1:21"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c r="U135" s="5"/>
    </row>
    <row r="136" spans="1:21"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c r="U136" s="5"/>
    </row>
    <row r="137" spans="1:21"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c r="U137" s="5"/>
    </row>
    <row r="138" spans="1:21"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c r="U138" s="5"/>
    </row>
    <row r="139" spans="1:21"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c r="U139" s="5"/>
    </row>
    <row r="140" spans="1:21"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c r="U140" s="5"/>
    </row>
    <row r="141" spans="1:21"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c r="U141" s="5"/>
    </row>
    <row r="142" spans="1:21"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c r="U142" s="5"/>
    </row>
    <row r="143" spans="1:21"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c r="U143" s="5"/>
    </row>
    <row r="144" spans="1:21"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c r="U144" s="5"/>
    </row>
    <row r="145" spans="1:21"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c r="U145" s="5"/>
    </row>
    <row r="146" spans="1:21"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c r="U146" s="5"/>
    </row>
    <row r="147" spans="1:21"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c r="U147" s="5"/>
    </row>
    <row r="148" spans="1:21"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c r="U148" s="5"/>
    </row>
    <row r="149" spans="1:21"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c r="U149" s="5"/>
    </row>
    <row r="150" spans="1:21"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c r="U150" s="5"/>
    </row>
    <row r="151" spans="1:21"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c r="U151" s="5"/>
    </row>
    <row r="152" spans="1:21"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c r="U152" s="5"/>
    </row>
    <row r="153" spans="1:21"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c r="U153" s="5"/>
    </row>
    <row r="154" spans="1:21"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c r="U154" s="5"/>
    </row>
    <row r="155" spans="1:21"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c r="U155" s="5"/>
    </row>
    <row r="156" spans="1:21"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c r="U156" s="5"/>
    </row>
    <row r="157" spans="1:21"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c r="U157" s="5"/>
    </row>
    <row r="158" spans="1:21"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c r="U158" s="5"/>
    </row>
    <row r="159" spans="1:21"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c r="U159" s="5"/>
    </row>
    <row r="160" spans="1:21"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c r="U160" s="5"/>
    </row>
    <row r="161" spans="1:21"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c r="U161" s="5"/>
    </row>
    <row r="162" spans="1:21"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c r="U162" s="5"/>
    </row>
    <row r="163" spans="1:21"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c r="U163" s="5"/>
    </row>
    <row r="164" spans="1:21"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c r="U164" s="5"/>
    </row>
    <row r="165" spans="1:21"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c r="U165" s="5"/>
    </row>
    <row r="166" spans="1:21"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c r="U166" s="5"/>
    </row>
    <row r="167" spans="1:21"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c r="U167" s="5"/>
    </row>
    <row r="168" spans="1:21"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c r="U168" s="5"/>
    </row>
    <row r="169" spans="1:21"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c r="U169" s="5"/>
    </row>
    <row r="170" spans="1:21"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c r="U170" s="5"/>
    </row>
    <row r="171" spans="1:21"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c r="U171" s="5"/>
    </row>
    <row r="172" spans="1:21"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c r="U172" s="5"/>
    </row>
    <row r="173" spans="1:21"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c r="U173" s="5"/>
    </row>
    <row r="174" spans="1:21"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c r="U174" s="5"/>
    </row>
    <row r="175" spans="1:21"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c r="U175" s="5"/>
    </row>
    <row r="176" spans="1:21"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c r="U176" s="5"/>
    </row>
    <row r="177" spans="1:21"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c r="U177" s="5"/>
    </row>
    <row r="178" spans="1:21"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c r="U178" s="5"/>
    </row>
    <row r="179" spans="1:21"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c r="U179" s="5"/>
    </row>
    <row r="180" spans="1:21"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c r="U180" s="5"/>
    </row>
    <row r="181" spans="1:21"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c r="U181" s="5"/>
    </row>
    <row r="182" spans="1:21"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c r="U182" s="5"/>
    </row>
    <row r="183" spans="1:21"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c r="U183" s="5"/>
    </row>
    <row r="184" spans="1:21"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c r="U184" s="5"/>
    </row>
    <row r="185" spans="1:21"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c r="U185" s="5"/>
    </row>
    <row r="186" spans="1:21"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c r="U186" s="5"/>
    </row>
    <row r="187" spans="1:21"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c r="U187" s="5"/>
    </row>
    <row r="188" spans="1:21"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c r="U188" s="5"/>
    </row>
    <row r="189" spans="1:21"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c r="U189" s="5"/>
    </row>
    <row r="190" spans="1:21"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c r="U190" s="5"/>
    </row>
    <row r="191" spans="1:21"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c r="U191" s="5"/>
    </row>
    <row r="192" spans="1:21"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c r="U192" s="5"/>
    </row>
    <row r="193" spans="1:21"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c r="U193" s="5"/>
    </row>
    <row r="194" spans="1:21"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c r="U194" s="5"/>
    </row>
    <row r="195" spans="1:21"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c r="U195" s="5"/>
    </row>
    <row r="196" spans="1:21"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c r="U196" s="5"/>
    </row>
    <row r="197" spans="1:21"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c r="U197" s="5"/>
    </row>
    <row r="198" spans="1:21"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c r="U198" s="5"/>
    </row>
    <row r="199" spans="1:21"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c r="U199" s="5"/>
    </row>
    <row r="200" spans="1:21"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c r="U200" s="5"/>
    </row>
    <row r="201" spans="1:21"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c r="U201" s="5"/>
    </row>
    <row r="202" spans="1:21"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c r="U202" s="5"/>
    </row>
    <row r="203" spans="1:21"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c r="U203" s="5"/>
    </row>
    <row r="204" spans="1:21"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c r="U204" s="5"/>
    </row>
    <row r="205" spans="1:21"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c r="U205" s="5"/>
    </row>
    <row r="206" spans="1:21"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c r="U206" s="5"/>
    </row>
    <row r="207" spans="1:21"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c r="U207" s="5"/>
    </row>
    <row r="208" spans="1:21"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c r="U208" s="5"/>
    </row>
    <row r="209" spans="1:21"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c r="U209" s="5"/>
    </row>
    <row r="210" spans="1:21"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c r="U210" s="5"/>
    </row>
    <row r="211" spans="1:21"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c r="U211" s="5"/>
    </row>
    <row r="212" spans="1:21"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c r="U212" s="5"/>
    </row>
    <row r="213" spans="1:21"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c r="U213" s="5"/>
    </row>
    <row r="214" spans="1:21"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c r="U214" s="5"/>
    </row>
    <row r="215" spans="1:21"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c r="U215" s="5"/>
    </row>
    <row r="216" spans="1:21"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c r="U216" s="5"/>
    </row>
    <row r="217" spans="1:21"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c r="U217" s="5"/>
    </row>
    <row r="218" spans="1:21"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c r="U218" s="5"/>
    </row>
    <row r="219" spans="1:21"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c r="U219" s="5"/>
    </row>
    <row r="220" spans="1:21"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c r="U220" s="5"/>
    </row>
    <row r="221" spans="1:21"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c r="U221" s="5"/>
    </row>
    <row r="222" spans="1:21"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c r="U222" s="5"/>
    </row>
    <row r="223" spans="1:21"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c r="U223" s="5"/>
    </row>
    <row r="224" spans="1:21"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c r="U224" s="5"/>
    </row>
    <row r="225" spans="1:21"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c r="U225" s="5"/>
    </row>
    <row r="226" spans="1:21"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c r="U226" s="5"/>
    </row>
    <row r="227" spans="1:21"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c r="U227" s="5"/>
    </row>
    <row r="228" spans="1:21"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c r="U228" s="5"/>
    </row>
    <row r="229" spans="1:21"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c r="U229" s="5"/>
    </row>
    <row r="230" spans="1:21"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c r="U230" s="5"/>
    </row>
    <row r="231" spans="1:21"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c r="U231" s="5"/>
    </row>
    <row r="232" spans="1:21"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c r="U232" s="5"/>
    </row>
    <row r="233" spans="1:21"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c r="U233" s="5"/>
    </row>
    <row r="234" spans="1:21"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c r="U234" s="5"/>
    </row>
    <row r="235" spans="1:21"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c r="U235" s="5"/>
    </row>
    <row r="236" spans="1:21"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c r="U236" s="5"/>
    </row>
    <row r="237" spans="1:21"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c r="U237" s="5"/>
    </row>
    <row r="238" spans="1:21"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c r="U238" s="5"/>
    </row>
    <row r="239" spans="1:21"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c r="U239" s="5"/>
    </row>
    <row r="240" spans="1:21"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c r="U240" s="5"/>
    </row>
    <row r="241" spans="1:21"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c r="U241" s="5"/>
    </row>
    <row r="242" spans="1:21"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c r="U242" s="5"/>
    </row>
    <row r="243" spans="1:21"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c r="U243" s="5"/>
    </row>
    <row r="244" spans="1:21"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c r="U244" s="5"/>
    </row>
    <row r="245" spans="1:21"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c r="U245" s="5"/>
    </row>
    <row r="246" spans="1:21"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c r="U246" s="5"/>
    </row>
    <row r="247" spans="1:21"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c r="U247" s="5"/>
    </row>
    <row r="248" spans="1:21"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c r="U248" s="5"/>
    </row>
    <row r="249" spans="1:21"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c r="U249" s="5"/>
    </row>
    <row r="250" spans="1:21"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c r="U250" s="5"/>
    </row>
    <row r="251" spans="1:21"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c r="U251" s="5"/>
    </row>
    <row r="252" spans="1:21"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c r="U252" s="5"/>
    </row>
    <row r="253" spans="1:21"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c r="U253" s="5"/>
    </row>
    <row r="254" spans="1:21"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c r="U254" s="5"/>
    </row>
    <row r="255" spans="1:21"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c r="U255" s="5"/>
    </row>
    <row r="256" spans="1:21"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c r="U256" s="5"/>
    </row>
    <row r="257" spans="1:21"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c r="U257" s="5"/>
    </row>
    <row r="258" spans="1:21"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c r="U258" s="5"/>
    </row>
    <row r="259" spans="1:21"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c r="U259" s="5"/>
    </row>
    <row r="260" spans="1:21"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c r="U260" s="5"/>
    </row>
    <row r="261" spans="1:21"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c r="U261" s="5"/>
    </row>
    <row r="262" spans="1:21"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c r="U262" s="5"/>
    </row>
    <row r="263" spans="1:21"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c r="U263" s="5"/>
    </row>
    <row r="264" spans="1:21"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c r="U264" s="5"/>
    </row>
    <row r="265" spans="1:21"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c r="U265" s="5"/>
    </row>
    <row r="266" spans="1:21"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c r="U266" s="5"/>
    </row>
    <row r="267" spans="1:21"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c r="U267" s="5"/>
    </row>
    <row r="268" spans="1:21"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c r="U268" s="5"/>
    </row>
    <row r="269" spans="1:21"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c r="U269" s="5"/>
    </row>
    <row r="270" spans="1:21"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c r="U270" s="5"/>
    </row>
    <row r="271" spans="1:21"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c r="U271" s="5"/>
    </row>
    <row r="272" spans="1:21"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c r="U272" s="5"/>
    </row>
    <row r="273" spans="1:21"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c r="U273" s="5"/>
    </row>
    <row r="274" spans="1:21"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c r="U274" s="5"/>
    </row>
    <row r="275" spans="1:21"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c r="U275" s="5"/>
    </row>
    <row r="276" spans="1:21"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c r="U276" s="5"/>
    </row>
    <row r="277" spans="1:21"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c r="U277" s="5"/>
    </row>
    <row r="278" spans="1:21"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c r="U278" s="5"/>
    </row>
    <row r="279" spans="1:21"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c r="U279" s="5"/>
    </row>
    <row r="280" spans="1:21"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c r="U280" s="5"/>
    </row>
    <row r="281" spans="1:21"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c r="U281" s="5"/>
    </row>
    <row r="282" spans="1:21"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c r="U282" s="5"/>
    </row>
    <row r="283" spans="1:21"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c r="U283" s="5"/>
    </row>
    <row r="284" spans="1:21"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c r="U284" s="5"/>
    </row>
    <row r="285" spans="1:21"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c r="U285" s="5"/>
    </row>
    <row r="286" spans="1:21"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c r="U286" s="5"/>
    </row>
    <row r="287" spans="1:21"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c r="U287" s="5"/>
    </row>
    <row r="288" spans="1:21"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c r="U288" s="5"/>
    </row>
    <row r="289" spans="1:21"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c r="U289" s="5"/>
    </row>
    <row r="290" spans="1:21"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c r="U290" s="5"/>
    </row>
    <row r="291" spans="1:21"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c r="U291" s="5"/>
    </row>
    <row r="292" spans="1:21"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c r="U292" s="5"/>
    </row>
    <row r="293" spans="1:21"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c r="U293" s="5"/>
    </row>
    <row r="294" spans="1:21"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c r="U294" s="5"/>
    </row>
    <row r="295" spans="1:21"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c r="U295" s="5"/>
    </row>
    <row r="296" spans="1:21"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c r="U296" s="5"/>
    </row>
    <row r="297" spans="1:21"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c r="U297" s="5"/>
    </row>
    <row r="298" spans="1:21"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c r="U298" s="5"/>
    </row>
    <row r="299" spans="1:21"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c r="U299" s="5"/>
    </row>
    <row r="300" spans="1:21"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c r="U300" s="5"/>
    </row>
    <row r="301" spans="1:21"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c r="U301" s="5"/>
    </row>
    <row r="302" spans="1:21"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c r="U302" s="5"/>
    </row>
    <row r="303" spans="1:21"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c r="U303" s="5"/>
    </row>
    <row r="304" spans="1:21"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c r="U304" s="5"/>
    </row>
    <row r="305" spans="1:21"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c r="U305" s="5"/>
    </row>
    <row r="306" spans="1:21"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c r="U306" s="5"/>
    </row>
    <row r="307" spans="1:21"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c r="U307" s="5"/>
    </row>
    <row r="308" spans="1:21"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c r="U308" s="5"/>
    </row>
    <row r="309" spans="1:21"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c r="U309" s="5"/>
    </row>
    <row r="310" spans="1:21"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c r="U310" s="5"/>
    </row>
    <row r="311" spans="1:21"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c r="U311" s="5"/>
    </row>
    <row r="312" spans="1:21"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c r="U312" s="5"/>
    </row>
    <row r="313" spans="1:21"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c r="U313" s="5"/>
    </row>
    <row r="314" spans="1:21"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c r="U314" s="5"/>
    </row>
    <row r="315" spans="1:21"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c r="U315" s="5"/>
    </row>
    <row r="316" spans="1:21"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c r="U316" s="5"/>
    </row>
    <row r="317" spans="1:21"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c r="U317" s="5"/>
    </row>
    <row r="318" spans="1:21"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c r="U318" s="5"/>
    </row>
    <row r="319" spans="1:21"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c r="U319" s="5"/>
    </row>
    <row r="320" spans="1:21"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c r="U320" s="5"/>
    </row>
    <row r="321" spans="1:21"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c r="U321" s="5"/>
    </row>
    <row r="322" spans="1:21"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c r="U322" s="5"/>
    </row>
    <row r="323" spans="1:21"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c r="U323" s="5"/>
    </row>
    <row r="324" spans="1:21"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c r="U324" s="5"/>
    </row>
    <row r="325" spans="1:21"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c r="U325" s="5"/>
    </row>
    <row r="326" spans="1:21"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c r="U326" s="5"/>
    </row>
    <row r="327" spans="1:21"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c r="U327" s="5"/>
    </row>
    <row r="328" spans="1:21"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c r="U328" s="5"/>
    </row>
    <row r="329" spans="1:21"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c r="U329" s="5"/>
    </row>
    <row r="330" spans="1:21"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c r="U330" s="5"/>
    </row>
    <row r="331" spans="1:21"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c r="U331" s="5"/>
    </row>
    <row r="332" spans="1:21"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c r="U332" s="5"/>
    </row>
    <row r="333" spans="1:21"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c r="U333" s="5"/>
    </row>
    <row r="334" spans="1:21"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c r="U334" s="5"/>
    </row>
    <row r="335" spans="1:21"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c r="U335" s="5"/>
    </row>
    <row r="336" spans="1:21"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c r="U336" s="5"/>
    </row>
    <row r="337" spans="1:21"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c r="U337" s="5"/>
    </row>
    <row r="338" spans="1:21"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c r="U338" s="5"/>
    </row>
    <row r="339" spans="1:21"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c r="U339" s="5"/>
    </row>
    <row r="340" spans="1:21"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c r="U340" s="5"/>
    </row>
    <row r="341" spans="1:21"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c r="U341" s="5"/>
    </row>
    <row r="342" spans="1:21"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c r="U342" s="5"/>
    </row>
    <row r="343" spans="1:21"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c r="U343" s="5"/>
    </row>
    <row r="344" spans="1:21"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c r="U344" s="5"/>
    </row>
    <row r="345" spans="1:21"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c r="U345" s="5"/>
    </row>
    <row r="346" spans="1:21"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c r="U346" s="5"/>
    </row>
    <row r="347" spans="1:21"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c r="U347" s="5"/>
    </row>
    <row r="348" spans="1:21"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c r="U348" s="5"/>
    </row>
    <row r="349" spans="1:21"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c r="U349" s="5"/>
    </row>
    <row r="350" spans="1:21"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c r="U350" s="5"/>
    </row>
    <row r="351" spans="1:21"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c r="U351" s="5"/>
    </row>
    <row r="352" spans="1:21"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c r="U352" s="5"/>
    </row>
    <row r="353" spans="1:21"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c r="U353" s="5"/>
    </row>
    <row r="354" spans="1:21"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c r="U354" s="5"/>
    </row>
    <row r="355" spans="1:21"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c r="U355" s="5"/>
    </row>
    <row r="356" spans="1:21"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c r="U356" s="5"/>
    </row>
    <row r="357" spans="1:21"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c r="U357" s="5"/>
    </row>
    <row r="358" spans="1:21"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c r="U358" s="5"/>
    </row>
    <row r="359" spans="1:21"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c r="U359" s="5"/>
    </row>
    <row r="360" spans="1:21"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c r="U360" s="5"/>
    </row>
    <row r="361" spans="1:21"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c r="U361" s="5"/>
    </row>
    <row r="362" spans="1:21"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c r="U362" s="5"/>
    </row>
    <row r="363" spans="1:21"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c r="U363" s="5"/>
    </row>
    <row r="364" spans="1:21"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c r="U364" s="5"/>
    </row>
    <row r="365" spans="1:21"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c r="U365" s="5"/>
    </row>
    <row r="366" spans="1:21"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c r="U366" s="5"/>
    </row>
    <row r="367" spans="1:21"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c r="U367" s="5"/>
    </row>
    <row r="368" spans="1:21"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c r="U368" s="5"/>
    </row>
    <row r="369" spans="1:21"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c r="U369" s="5"/>
    </row>
    <row r="370" spans="1:21"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c r="U370" s="5"/>
    </row>
    <row r="371" spans="1:21"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c r="U371" s="5"/>
    </row>
    <row r="372" spans="1:21"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c r="U372" s="5"/>
    </row>
    <row r="373" spans="1:21"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c r="U373" s="5"/>
    </row>
    <row r="374" spans="1:21"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c r="U374" s="5"/>
    </row>
    <row r="375" spans="1:21"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c r="U375" s="5"/>
    </row>
    <row r="376" spans="1:21"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c r="U376" s="5"/>
    </row>
    <row r="377" spans="1:21"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c r="U377" s="5"/>
    </row>
    <row r="378" spans="1:21"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c r="U378" s="5"/>
    </row>
    <row r="379" spans="1:21"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c r="U379" s="5"/>
    </row>
    <row r="380" spans="1:21"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c r="U380" s="5"/>
    </row>
    <row r="381" spans="1:21"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c r="U381" s="5"/>
    </row>
    <row r="382" spans="1:21"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c r="U382" s="5"/>
    </row>
    <row r="383" spans="1:21"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c r="U383" s="5"/>
    </row>
    <row r="384" spans="1:21"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c r="U384" s="5"/>
    </row>
    <row r="385" spans="1:21"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c r="U385" s="5"/>
    </row>
    <row r="386" spans="1:21"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c r="U386" s="5"/>
    </row>
    <row r="387" spans="1:21"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c r="U387" s="5"/>
    </row>
    <row r="388" spans="1:21"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c r="U388" s="5"/>
    </row>
    <row r="389" spans="1:21"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c r="U389" s="5"/>
    </row>
    <row r="390" spans="1:21"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c r="U390" s="5"/>
    </row>
    <row r="391" spans="1:21"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c r="U391" s="5"/>
    </row>
    <row r="392" spans="1:21"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c r="U392" s="5"/>
    </row>
    <row r="393" spans="1:21"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c r="U393" s="5"/>
    </row>
    <row r="394" spans="1:21"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c r="U394" s="5"/>
    </row>
    <row r="395" spans="1:21"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c r="U395" s="5"/>
    </row>
    <row r="396" spans="1:21"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c r="U396" s="5"/>
    </row>
    <row r="397" spans="1:21"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c r="U397" s="5"/>
    </row>
    <row r="398" spans="1:21"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c r="U398" s="5"/>
    </row>
    <row r="399" spans="1:21"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c r="U399" s="5"/>
    </row>
    <row r="400" spans="1:21"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c r="U400" s="5"/>
    </row>
    <row r="401" spans="1:21"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c r="U401" s="5"/>
    </row>
    <row r="402" spans="1:21"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c r="U402" s="5"/>
    </row>
    <row r="403" spans="1:21"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c r="U403" s="5"/>
    </row>
    <row r="404" spans="1:21"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c r="U404" s="5"/>
    </row>
    <row r="405" spans="1:21"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c r="U405" s="5"/>
    </row>
    <row r="406" spans="1:21"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c r="U406" s="5"/>
    </row>
    <row r="407" spans="1:21"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c r="U407" s="5"/>
    </row>
    <row r="408" spans="1:21"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c r="U408" s="5"/>
    </row>
    <row r="409" spans="1:21"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c r="U409" s="5"/>
    </row>
    <row r="410" spans="1:21"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c r="U410" s="5"/>
    </row>
    <row r="411" spans="1:21"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c r="U411" s="5"/>
    </row>
    <row r="412" spans="1:21"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c r="U412" s="5"/>
    </row>
    <row r="413" spans="1:21"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c r="U413" s="5"/>
    </row>
    <row r="414" spans="1:21"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c r="U414" s="5"/>
    </row>
    <row r="415" spans="1:21"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c r="U415" s="5"/>
    </row>
    <row r="416" spans="1:21"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c r="U416" s="5"/>
    </row>
    <row r="417" spans="1:21"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c r="U417" s="5"/>
    </row>
    <row r="418" spans="1:21"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c r="U418" s="5"/>
    </row>
    <row r="419" spans="1:21"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c r="U419" s="5"/>
    </row>
    <row r="420" spans="1:21"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c r="U420" s="5"/>
    </row>
    <row r="421" spans="1:21"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c r="U421" s="5"/>
    </row>
    <row r="422" spans="1:21"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c r="U422" s="5"/>
    </row>
    <row r="423" spans="1:21"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c r="U423" s="5"/>
    </row>
    <row r="424" spans="1:21"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c r="U424" s="5"/>
    </row>
    <row r="425" spans="1:21"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c r="U425" s="5"/>
    </row>
    <row r="426" spans="1:21"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c r="U426" s="5"/>
    </row>
    <row r="427" spans="1:21"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c r="U427" s="5"/>
    </row>
    <row r="428" spans="1:21"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c r="U428" s="5"/>
    </row>
    <row r="429" spans="1:21"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c r="U429" s="5"/>
    </row>
    <row r="430" spans="1:21"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c r="U430" s="5"/>
    </row>
    <row r="431" spans="1:21"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c r="U431" s="5"/>
    </row>
    <row r="432" spans="1:21"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c r="U432" s="5"/>
    </row>
    <row r="433" spans="1:21"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c r="U433" s="5"/>
    </row>
    <row r="434" spans="1:21"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c r="U434" s="5"/>
    </row>
    <row r="435" spans="1:21"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c r="U435" s="5"/>
    </row>
    <row r="436" spans="1:21"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c r="U436" s="5"/>
    </row>
    <row r="437" spans="1:21"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c r="U437" s="5"/>
    </row>
    <row r="438" spans="1:21"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c r="U438" s="5"/>
    </row>
    <row r="439" spans="1:21"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c r="U439" s="5"/>
    </row>
    <row r="440" spans="1:21"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c r="U440" s="5"/>
    </row>
    <row r="441" spans="1:21"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c r="U441" s="5"/>
    </row>
    <row r="442" spans="1:21"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c r="U442" s="5"/>
    </row>
    <row r="443" spans="1:21"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c r="U443" s="5"/>
    </row>
    <row r="444" spans="1:21"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c r="U444" s="5"/>
    </row>
    <row r="445" spans="1:21"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c r="U445" s="5"/>
    </row>
    <row r="446" spans="1:21"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c r="U446" s="5"/>
    </row>
    <row r="447" spans="1:21"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c r="U447" s="5"/>
    </row>
    <row r="448" spans="1:21"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c r="U448" s="5"/>
    </row>
    <row r="449" spans="1:21"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c r="U449" s="5"/>
    </row>
    <row r="450" spans="1:21"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c r="U450" s="5"/>
    </row>
    <row r="451" spans="1:21"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c r="U451" s="5"/>
    </row>
    <row r="452" spans="1:21"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c r="U452" s="5"/>
    </row>
    <row r="453" spans="1:21"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c r="U453" s="5"/>
    </row>
    <row r="454" spans="1:21"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c r="U454" s="5"/>
    </row>
    <row r="455" spans="1:21"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c r="U455" s="5"/>
    </row>
    <row r="456" spans="1:21"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c r="U456" s="5"/>
    </row>
    <row r="457" spans="1:21"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c r="U457" s="5"/>
    </row>
    <row r="458" spans="1:21"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c r="U458" s="5"/>
    </row>
    <row r="459" spans="1:21"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c r="U459" s="5"/>
    </row>
    <row r="460" spans="1:21"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c r="U460" s="5"/>
    </row>
    <row r="461" spans="1:21"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c r="U461" s="5"/>
    </row>
    <row r="462" spans="1:21"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c r="U462" s="5"/>
    </row>
    <row r="463" spans="1:21"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c r="U463" s="5"/>
    </row>
    <row r="464" spans="1:21"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c r="U464" s="5"/>
    </row>
    <row r="465" spans="1:21"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c r="U465" s="5"/>
    </row>
    <row r="466" spans="1:21"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c r="U466" s="5"/>
    </row>
    <row r="467" spans="1:21"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c r="U467" s="5"/>
    </row>
    <row r="468" spans="1:21"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c r="U468" s="5"/>
    </row>
    <row r="469" spans="1:21"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c r="U469" s="5"/>
    </row>
    <row r="470" spans="1:21"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c r="U470" s="5"/>
    </row>
    <row r="471" spans="1:21"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c r="U471" s="5"/>
    </row>
    <row r="472" spans="1:21"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c r="U472" s="5"/>
    </row>
    <row r="473" spans="1:21"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c r="U473" s="5"/>
    </row>
    <row r="474" spans="1:21"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c r="U474" s="5"/>
    </row>
    <row r="475" spans="1:21"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c r="U475" s="5"/>
    </row>
    <row r="476" spans="1:21"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c r="U476" s="5"/>
    </row>
    <row r="477" spans="1:21"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c r="U477" s="5"/>
    </row>
    <row r="478" spans="1:21"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c r="U478" s="5"/>
    </row>
    <row r="479" spans="1:21"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c r="U479" s="5"/>
    </row>
    <row r="480" spans="1:21"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c r="U480" s="5"/>
    </row>
    <row r="481" spans="1:21"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c r="U481" s="5"/>
    </row>
    <row r="482" spans="1:21"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c r="U482" s="5"/>
    </row>
    <row r="483" spans="1:21"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c r="U483" s="5"/>
    </row>
    <row r="484" spans="1:21"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c r="U484" s="5"/>
    </row>
    <row r="485" spans="1:21"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c r="U485" s="5"/>
    </row>
    <row r="486" spans="1:21"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c r="U486" s="5"/>
    </row>
    <row r="487" spans="1:21"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c r="U487" s="5"/>
    </row>
    <row r="488" spans="1:21"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c r="U488" s="5"/>
    </row>
    <row r="489" spans="1:21"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c r="U489" s="5"/>
    </row>
    <row r="490" spans="1:21"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c r="U490" s="5"/>
    </row>
    <row r="491" spans="1:21"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c r="U491" s="5"/>
    </row>
    <row r="492" spans="1:21"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c r="U492" s="5"/>
    </row>
    <row r="493" spans="1:21"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c r="U493" s="5"/>
    </row>
    <row r="494" spans="1:21"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c r="U494" s="5"/>
    </row>
    <row r="495" spans="1:21"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c r="U495" s="5"/>
    </row>
    <row r="496" spans="1:21"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c r="U496" s="5"/>
    </row>
    <row r="497" spans="1:21"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c r="U497" s="5"/>
    </row>
    <row r="498" spans="1:21"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c r="U498" s="5"/>
    </row>
    <row r="499" spans="1:21"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c r="U499" s="5"/>
    </row>
    <row r="500" spans="1:21"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c r="U500" s="5"/>
    </row>
    <row r="501" spans="1:21"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c r="U501" s="5"/>
    </row>
    <row r="502" spans="1:21"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c r="U502" s="5"/>
    </row>
    <row r="503" spans="1:21"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c r="U503" s="5"/>
    </row>
    <row r="504" spans="1:21"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c r="U504" s="5"/>
    </row>
    <row r="505" spans="1:21"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c r="U505" s="5"/>
    </row>
    <row r="506" spans="1:21"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c r="U506" s="5"/>
    </row>
    <row r="507" spans="1:21"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c r="U507" s="5"/>
    </row>
    <row r="508" spans="1:21"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c r="U508" s="5"/>
    </row>
    <row r="509" spans="1:21"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c r="U509" s="5"/>
    </row>
    <row r="510" spans="1:21"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c r="U510" s="5"/>
    </row>
    <row r="511" spans="1:21"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c r="U511" s="5"/>
    </row>
    <row r="512" spans="1:21"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c r="U512" s="5"/>
    </row>
    <row r="513" spans="1:21"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c r="U513" s="5"/>
    </row>
    <row r="514" spans="1:21"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c r="U514" s="5"/>
    </row>
    <row r="515" spans="1:21"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c r="U515" s="5"/>
    </row>
    <row r="516" spans="1:21"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c r="U516" s="5"/>
    </row>
    <row r="517" spans="1:21"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c r="U517" s="5"/>
    </row>
    <row r="518" spans="1:21"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c r="U518" s="5"/>
    </row>
    <row r="519" spans="1:21"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c r="U519" s="5"/>
    </row>
    <row r="520" spans="1:21"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c r="U520" s="5"/>
    </row>
    <row r="521" spans="1:21"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c r="U521" s="5"/>
    </row>
    <row r="522" spans="1:21"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c r="U522" s="5"/>
    </row>
    <row r="523" spans="1:21"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c r="U523" s="5"/>
    </row>
    <row r="524" spans="1:21"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c r="U524" s="5"/>
    </row>
    <row r="525" spans="1:21"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c r="U525" s="5"/>
    </row>
    <row r="526" spans="1:21"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c r="U526" s="5"/>
    </row>
    <row r="527" spans="1:21"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c r="U527" s="5"/>
    </row>
    <row r="528" spans="1:21"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c r="U528" s="5"/>
    </row>
    <row r="529" spans="1:21"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c r="U529" s="5"/>
    </row>
    <row r="530" spans="1:21"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c r="U530" s="5"/>
    </row>
    <row r="531" spans="1:21"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c r="U531" s="5"/>
    </row>
    <row r="532" spans="1:21"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c r="U532" s="5"/>
    </row>
    <row r="533" spans="1:21"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c r="U533" s="5"/>
    </row>
    <row r="534" spans="1:21"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c r="U534" s="5"/>
    </row>
    <row r="535" spans="1:21"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c r="U535" s="5"/>
    </row>
    <row r="536" spans="1:21"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c r="U536" s="5"/>
    </row>
    <row r="537" spans="1:21"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c r="U537" s="5"/>
    </row>
    <row r="538" spans="1:21"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c r="U538" s="5"/>
    </row>
    <row r="539" spans="1:21"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c r="U539" s="5"/>
    </row>
    <row r="540" spans="1:21"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c r="U540" s="5"/>
    </row>
    <row r="541" spans="1:21"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c r="U541" s="5"/>
    </row>
    <row r="542" spans="1:21"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c r="U542" s="5"/>
    </row>
    <row r="543" spans="1:21"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c r="U543" s="5"/>
    </row>
    <row r="544" spans="1:21"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c r="U544" s="5"/>
    </row>
    <row r="545" spans="1:21"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c r="U545" s="5"/>
    </row>
    <row r="546" spans="1:21"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c r="U546" s="5"/>
    </row>
    <row r="547" spans="1:21"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c r="U547" s="5"/>
    </row>
    <row r="548" spans="1:21"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c r="U548" s="5"/>
    </row>
    <row r="549" spans="1:21"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c r="U549" s="5"/>
    </row>
    <row r="550" spans="1:21"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c r="U550" s="5"/>
    </row>
    <row r="551" spans="1:21"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c r="U551" s="5"/>
    </row>
    <row r="552" spans="1:21"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c r="U552" s="5"/>
    </row>
    <row r="553" spans="1:21"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c r="U553" s="5"/>
    </row>
    <row r="554" spans="1:21"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c r="U554" s="5"/>
    </row>
    <row r="555" spans="1:21"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c r="U555" s="5"/>
    </row>
    <row r="556" spans="1:21"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c r="U556" s="5"/>
    </row>
    <row r="557" spans="1:21"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c r="U557" s="5"/>
    </row>
    <row r="558" spans="1:21"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c r="U558" s="5"/>
    </row>
    <row r="559" spans="1:21"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c r="U559" s="5"/>
    </row>
    <row r="560" spans="1:21"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c r="U560" s="5"/>
    </row>
    <row r="561" spans="1:21"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c r="U561" s="5"/>
    </row>
    <row r="562" spans="1:21"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c r="U562" s="5"/>
    </row>
    <row r="563" spans="1:21"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c r="U563" s="5"/>
    </row>
    <row r="564" spans="1:21"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c r="U564" s="5"/>
    </row>
    <row r="565" spans="1:21"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c r="U565" s="5"/>
    </row>
    <row r="566" spans="1:21"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c r="U566" s="5"/>
    </row>
    <row r="567" spans="1:21"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c r="U567" s="5"/>
    </row>
    <row r="568" spans="1:21"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c r="U568" s="5"/>
    </row>
    <row r="569" spans="1:21"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c r="U569" s="5"/>
    </row>
    <row r="570" spans="1:21"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c r="U570" s="5"/>
    </row>
    <row r="571" spans="1:21"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c r="U571" s="5"/>
    </row>
    <row r="572" spans="1:21"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c r="U572" s="5"/>
    </row>
    <row r="573" spans="1:21"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c r="U573" s="5"/>
    </row>
    <row r="574" spans="1:21"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c r="U574" s="5"/>
    </row>
    <row r="575" spans="1:21"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c r="U575" s="5"/>
    </row>
    <row r="576" spans="1:21"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c r="U576" s="5"/>
    </row>
    <row r="577" spans="1:21"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c r="U577" s="5"/>
    </row>
    <row r="578" spans="1:21"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c r="U578" s="5"/>
    </row>
    <row r="579" spans="1:21"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c r="U579" s="5"/>
    </row>
    <row r="580" spans="1:21"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c r="U580" s="5"/>
    </row>
    <row r="581" spans="1:21"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c r="U581" s="5"/>
    </row>
    <row r="582" spans="1:21"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c r="U582" s="5"/>
    </row>
    <row r="583" spans="1:21"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c r="U583" s="5"/>
    </row>
    <row r="584" spans="1:21"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c r="U584" s="5"/>
    </row>
    <row r="585" spans="1:21"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c r="U585" s="5"/>
    </row>
    <row r="586" spans="1:21"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c r="U586" s="5"/>
    </row>
    <row r="587" spans="1:21"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c r="U587" s="5"/>
    </row>
    <row r="588" spans="1:21"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c r="U588" s="5"/>
    </row>
    <row r="589" spans="1:21"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c r="U589" s="5"/>
    </row>
    <row r="590" spans="1:21"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c r="U590" s="5"/>
    </row>
    <row r="591" spans="1:21"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c r="U591" s="5"/>
    </row>
    <row r="592" spans="1:21"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c r="U592" s="5"/>
    </row>
    <row r="593" spans="1:21"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c r="U593" s="5"/>
    </row>
    <row r="594" spans="1:21"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c r="U594" s="5"/>
    </row>
    <row r="595" spans="1:21"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c r="U595" s="5"/>
    </row>
    <row r="596" spans="1:21"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c r="U596" s="5"/>
    </row>
    <row r="597" spans="1:21"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c r="U597" s="5"/>
    </row>
    <row r="598" spans="1:21"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c r="U598" s="5"/>
    </row>
    <row r="599" spans="1:21"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c r="U599" s="5"/>
    </row>
    <row r="600" spans="1:21"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c r="U600" s="5"/>
    </row>
    <row r="601" spans="1:21"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c r="U601" s="5"/>
    </row>
    <row r="602" spans="1:21"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c r="U602" s="5"/>
    </row>
    <row r="603" spans="1:21"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c r="U603" s="5"/>
    </row>
    <row r="604" spans="1:21"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c r="U604" s="5"/>
    </row>
    <row r="605" spans="1:21"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c r="U605" s="5"/>
    </row>
    <row r="606" spans="1:21"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c r="U606" s="5"/>
    </row>
    <row r="607" spans="1:21"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c r="U607" s="5"/>
    </row>
    <row r="608" spans="1:21"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c r="U608" s="5"/>
    </row>
    <row r="609" spans="1:21"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c r="U609" s="5"/>
    </row>
    <row r="610" spans="1:21"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c r="U610" s="5"/>
    </row>
    <row r="611" spans="1:21"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c r="U611" s="5"/>
    </row>
    <row r="612" spans="1:21"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c r="U612" s="5"/>
    </row>
    <row r="613" spans="1:21"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c r="U613" s="5"/>
    </row>
    <row r="614" spans="1:21"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c r="U614" s="5"/>
    </row>
    <row r="615" spans="1:21"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c r="U615" s="5"/>
    </row>
    <row r="616" spans="1:21"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c r="U616" s="5"/>
    </row>
    <row r="617" spans="1:21"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c r="U617" s="5"/>
    </row>
    <row r="618" spans="1:21"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c r="U618" s="5"/>
    </row>
    <row r="619" spans="1:21"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c r="U619" s="5"/>
    </row>
    <row r="620" spans="1:21"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c r="U620" s="5"/>
    </row>
    <row r="621" spans="1:21"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c r="U621" s="5"/>
    </row>
    <row r="622" spans="1:21"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c r="U622" s="5"/>
    </row>
    <row r="623" spans="1:21"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c r="U623" s="5"/>
    </row>
    <row r="624" spans="1:21"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c r="U624" s="5"/>
    </row>
    <row r="625" spans="1:21"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c r="U625" s="5"/>
    </row>
    <row r="626" spans="1:21"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c r="U626" s="5"/>
    </row>
    <row r="627" spans="1:21"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c r="U627" s="5"/>
    </row>
    <row r="628" spans="1:21"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c r="U628" s="5"/>
    </row>
    <row r="629" spans="1:21"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c r="U629" s="5"/>
    </row>
    <row r="630" spans="1:21"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c r="U630" s="5"/>
    </row>
    <row r="631" spans="1:21"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c r="U631" s="5"/>
    </row>
    <row r="632" spans="1:21"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c r="U632" s="5"/>
    </row>
    <row r="633" spans="1:21"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c r="U633" s="5"/>
    </row>
    <row r="634" spans="1:21"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c r="U634" s="5"/>
    </row>
    <row r="635" spans="1:21"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c r="U635" s="5"/>
    </row>
    <row r="636" spans="1:21"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c r="U636" s="5"/>
    </row>
    <row r="637" spans="1:21"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c r="U637" s="5"/>
    </row>
    <row r="638" spans="1:21"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c r="U638" s="5"/>
    </row>
    <row r="639" spans="1:21"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c r="U639" s="5"/>
    </row>
    <row r="640" spans="1:21"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c r="U640" s="5"/>
    </row>
    <row r="641" spans="1:21"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c r="U641" s="5"/>
    </row>
    <row r="642" spans="1:21"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c r="U642" s="5"/>
    </row>
    <row r="643" spans="1:21"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c r="U643" s="5"/>
    </row>
    <row r="644" spans="1:21"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c r="U644" s="5"/>
    </row>
    <row r="645" spans="1:21"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c r="U645" s="5"/>
    </row>
    <row r="646" spans="1:21"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c r="U646" s="5"/>
    </row>
    <row r="647" spans="1:21"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c r="U647" s="5"/>
    </row>
    <row r="648" spans="1:21"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c r="U648" s="5"/>
    </row>
    <row r="649" spans="1:21"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c r="U649" s="5"/>
    </row>
    <row r="650" spans="1:21"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c r="U650" s="5"/>
    </row>
    <row r="651" spans="1:21"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c r="U651" s="5"/>
    </row>
    <row r="652" spans="1:21"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c r="U652" s="5"/>
    </row>
    <row r="653" spans="1:21"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c r="U653" s="5"/>
    </row>
    <row r="654" spans="1:21"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c r="U654" s="5"/>
    </row>
    <row r="655" spans="1:21"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c r="U655" s="5"/>
    </row>
    <row r="656" spans="1:21"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c r="U656" s="5"/>
    </row>
    <row r="657" spans="1:21"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c r="U657" s="5"/>
    </row>
    <row r="658" spans="1:21"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c r="U658" s="5"/>
    </row>
    <row r="659" spans="1:21"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c r="U659" s="5"/>
    </row>
    <row r="660" spans="1:21"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c r="U660" s="5"/>
    </row>
    <row r="661" spans="1:21"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c r="U661" s="5"/>
    </row>
    <row r="662" spans="1:21"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c r="U662" s="5"/>
    </row>
    <row r="663" spans="1:21"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c r="U663" s="5"/>
    </row>
    <row r="664" spans="1:21"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c r="U664" s="5"/>
    </row>
    <row r="665" spans="1:21"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c r="U665" s="5"/>
    </row>
    <row r="666" spans="1:21"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c r="U666" s="5"/>
    </row>
    <row r="667" spans="1:21"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c r="U667" s="5"/>
    </row>
    <row r="668" spans="1:21"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c r="U668" s="5"/>
    </row>
    <row r="669" spans="1:21"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c r="U669" s="5"/>
    </row>
    <row r="670" spans="1:21"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c r="U670" s="5"/>
    </row>
    <row r="671" spans="1:21"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c r="U671" s="5"/>
    </row>
    <row r="672" spans="1:21"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c r="U672" s="5"/>
    </row>
    <row r="673" spans="1:21"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c r="U673" s="5"/>
    </row>
    <row r="674" spans="1:21"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c r="U674" s="5"/>
    </row>
    <row r="675" spans="1:21"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c r="U675" s="5"/>
    </row>
    <row r="676" spans="1:21"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c r="U676" s="5"/>
    </row>
    <row r="677" spans="1:21"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c r="U677" s="5"/>
    </row>
    <row r="678" spans="1:21"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c r="U678" s="5"/>
    </row>
    <row r="679" spans="1:21"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c r="U679" s="5"/>
    </row>
    <row r="680" spans="1:21"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c r="U680" s="5"/>
    </row>
    <row r="681" spans="1:21"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c r="U681" s="5"/>
    </row>
    <row r="682" spans="1:21"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c r="U682" s="5"/>
    </row>
    <row r="683" spans="1:21"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c r="U683" s="5"/>
    </row>
    <row r="684" spans="1:21"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c r="U684" s="5"/>
    </row>
    <row r="685" spans="1:21"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c r="U685" s="5"/>
    </row>
    <row r="686" spans="1:21"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c r="U686" s="5"/>
    </row>
    <row r="687" spans="1:21"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c r="U687" s="5"/>
    </row>
    <row r="688" spans="1:21"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c r="U688" s="5"/>
    </row>
    <row r="689" spans="1:21"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c r="U689" s="5"/>
    </row>
    <row r="690" spans="1:21"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c r="U690" s="5"/>
    </row>
    <row r="691" spans="1:21"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c r="U691" s="5"/>
    </row>
    <row r="692" spans="1:21"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c r="U692" s="5"/>
    </row>
    <row r="693" spans="1:21"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c r="U693" s="5"/>
    </row>
    <row r="694" spans="1:21"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c r="U694" s="5"/>
    </row>
    <row r="695" spans="1:21"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c r="U695" s="5"/>
    </row>
    <row r="696" spans="1:21"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c r="U696" s="5"/>
    </row>
    <row r="697" spans="1:21"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c r="U697" s="5"/>
    </row>
    <row r="698" spans="1:21"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c r="U698" s="5"/>
    </row>
    <row r="699" spans="1:21"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c r="U699" s="5"/>
    </row>
    <row r="700" spans="1:21"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c r="U700" s="5"/>
    </row>
    <row r="701" spans="1:21"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c r="U701" s="5"/>
    </row>
    <row r="702" spans="1:21"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c r="U702" s="5"/>
    </row>
    <row r="703" spans="1:21"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c r="U703" s="5"/>
    </row>
    <row r="704" spans="1:21"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c r="U704" s="5"/>
    </row>
    <row r="705" spans="1:21"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c r="U705" s="5"/>
    </row>
    <row r="706" spans="1:21"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c r="U706" s="5"/>
    </row>
    <row r="707" spans="1:21"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c r="U707" s="5"/>
    </row>
    <row r="708" spans="1:21"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c r="U708" s="5"/>
    </row>
    <row r="709" spans="1:21"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c r="U709" s="5"/>
    </row>
    <row r="710" spans="1:21"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c r="U710" s="5"/>
    </row>
    <row r="711" spans="1:21"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c r="U711" s="5"/>
    </row>
    <row r="712" spans="1:21"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c r="U712" s="5"/>
    </row>
    <row r="713" spans="1:21"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c r="U713" s="5"/>
    </row>
    <row r="714" spans="1:21"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c r="U714" s="5"/>
    </row>
    <row r="715" spans="1:21"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c r="U715" s="5"/>
    </row>
    <row r="716" spans="1:21"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c r="U716" s="5"/>
    </row>
    <row r="717" spans="1:21"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c r="U717" s="5"/>
    </row>
    <row r="718" spans="1:21"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c r="U718" s="5"/>
    </row>
    <row r="719" spans="1:21"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c r="U719" s="5"/>
    </row>
    <row r="720" spans="1:21"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c r="U720" s="5"/>
    </row>
    <row r="721" spans="1:21"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c r="U721" s="5"/>
    </row>
    <row r="722" spans="1:21"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c r="U722" s="5"/>
    </row>
    <row r="723" spans="1:21"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c r="U723" s="5"/>
    </row>
    <row r="724" spans="1:21"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c r="U724" s="5"/>
    </row>
    <row r="725" spans="1:21"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c r="U725" s="5"/>
    </row>
    <row r="726" spans="1:21"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c r="U726" s="5"/>
    </row>
    <row r="727" spans="1:21"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c r="U727" s="5"/>
    </row>
    <row r="728" spans="1:21"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c r="U728" s="5"/>
    </row>
    <row r="729" spans="1:21"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c r="U729" s="5"/>
    </row>
    <row r="730" spans="1:21"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c r="U730" s="5"/>
    </row>
    <row r="731" spans="1:21"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c r="U731" s="5"/>
    </row>
    <row r="732" spans="1:21"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c r="U732" s="5"/>
    </row>
    <row r="733" spans="1:21"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c r="U733" s="5"/>
    </row>
    <row r="734" spans="1:21"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c r="U734" s="5"/>
    </row>
    <row r="735" spans="1:21"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c r="U735" s="5"/>
    </row>
    <row r="736" spans="1:21"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c r="U736" s="5"/>
    </row>
    <row r="737" spans="1:21"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c r="U737" s="5"/>
    </row>
    <row r="738" spans="1:21"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c r="U738" s="5"/>
    </row>
    <row r="739" spans="1:21"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c r="U739" s="5"/>
    </row>
    <row r="740" spans="1:21"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c r="U740" s="5"/>
    </row>
    <row r="741" spans="1:21"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c r="U741" s="5"/>
    </row>
    <row r="742" spans="1:21"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c r="U742" s="5"/>
    </row>
    <row r="743" spans="1:21"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c r="U743" s="5"/>
    </row>
    <row r="744" spans="1:21"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c r="U744" s="5"/>
    </row>
    <row r="745" spans="1:21"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c r="U745" s="5"/>
    </row>
    <row r="746" spans="1:21"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c r="U746" s="5"/>
    </row>
    <row r="747" spans="1:21"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c r="U747" s="5"/>
    </row>
    <row r="748" spans="1:21"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c r="U748" s="5"/>
    </row>
    <row r="749" spans="1:21"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c r="U749" s="5"/>
    </row>
    <row r="750" spans="1:21"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c r="U750" s="5"/>
    </row>
    <row r="751" spans="1:21"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c r="U751" s="5"/>
    </row>
    <row r="752" spans="1:21"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c r="U752" s="5"/>
    </row>
    <row r="753" spans="1:21"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c r="U753" s="5"/>
    </row>
    <row r="754" spans="1:21"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c r="U754" s="5"/>
    </row>
    <row r="755" spans="1:21"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c r="U755" s="5"/>
    </row>
    <row r="756" spans="1:21"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c r="U756" s="5"/>
    </row>
    <row r="757" spans="1:21"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c r="U757" s="5"/>
    </row>
    <row r="758" spans="1:21"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c r="U758" s="5"/>
    </row>
    <row r="759" spans="1:21"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c r="U759" s="5"/>
    </row>
    <row r="760" spans="1:21"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c r="U760" s="5"/>
    </row>
    <row r="761" spans="1:21"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c r="U761" s="5"/>
    </row>
    <row r="762" spans="1:21"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c r="U762" s="5"/>
    </row>
    <row r="763" spans="1:21"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c r="U763" s="5"/>
    </row>
    <row r="764" spans="1:21"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c r="U764" s="5"/>
    </row>
    <row r="765" spans="1:21"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c r="U765" s="5"/>
    </row>
    <row r="766" spans="1:21"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c r="U766" s="5"/>
    </row>
    <row r="767" spans="1:21"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c r="U767" s="5"/>
    </row>
    <row r="768" spans="1:21"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c r="U768" s="5"/>
    </row>
    <row r="769" spans="1:21"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c r="U769" s="5"/>
    </row>
    <row r="770" spans="1:21"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c r="U770" s="5"/>
    </row>
    <row r="771" spans="1:21"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c r="U771" s="5"/>
    </row>
    <row r="772" spans="1:21"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c r="U772" s="5"/>
    </row>
    <row r="773" spans="1:21"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c r="U773" s="5"/>
    </row>
    <row r="774" spans="1:21"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c r="U774" s="5"/>
    </row>
    <row r="775" spans="1:21"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c r="U775" s="5"/>
    </row>
    <row r="776" spans="1:21"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c r="U776" s="5"/>
    </row>
    <row r="777" spans="1:21"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c r="U777" s="5"/>
    </row>
    <row r="778" spans="1:21"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c r="U778" s="5"/>
    </row>
    <row r="779" spans="1:21"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c r="U779" s="5"/>
    </row>
    <row r="780" spans="1:21"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c r="U780" s="5"/>
    </row>
    <row r="781" spans="1:21"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c r="U781" s="5"/>
    </row>
    <row r="782" spans="1:21"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c r="U782" s="5"/>
    </row>
    <row r="783" spans="1:21"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c r="U783" s="5"/>
    </row>
    <row r="784" spans="1:21"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c r="U784" s="5"/>
    </row>
    <row r="785" spans="1:21"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c r="U785" s="5"/>
    </row>
    <row r="786" spans="1:21"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c r="U786" s="5"/>
    </row>
    <row r="787" spans="1:21"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c r="U787" s="5"/>
    </row>
    <row r="788" spans="1:21"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c r="U788" s="5"/>
    </row>
    <row r="789" spans="1:21"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c r="U789" s="5"/>
    </row>
    <row r="790" spans="1:21"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c r="U790" s="5"/>
    </row>
    <row r="791" spans="1:21"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c r="U791" s="5"/>
    </row>
    <row r="792" spans="1:21"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c r="U792" s="5"/>
    </row>
    <row r="793" spans="1:21"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c r="U793" s="5"/>
    </row>
    <row r="794" spans="1:21"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c r="U794" s="5"/>
    </row>
    <row r="795" spans="1:21"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c r="U795" s="5"/>
    </row>
    <row r="796" spans="1:21"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c r="U796" s="5"/>
    </row>
    <row r="797" spans="1:21"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c r="U797" s="5"/>
    </row>
    <row r="798" spans="1:21"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c r="U798" s="5"/>
    </row>
    <row r="799" spans="1:21"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c r="U799" s="5"/>
    </row>
    <row r="800" spans="1:21"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c r="U800" s="5"/>
    </row>
    <row r="801" spans="1:21"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c r="U801" s="5"/>
    </row>
    <row r="802" spans="1:21"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c r="U802" s="5"/>
    </row>
    <row r="803" spans="1:21"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c r="U803" s="5"/>
    </row>
    <row r="804" spans="1:21"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c r="U804" s="5"/>
    </row>
    <row r="805" spans="1:21"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c r="U805" s="5"/>
    </row>
    <row r="806" spans="1:21"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c r="U806" s="5"/>
    </row>
    <row r="807" spans="1:21"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c r="U807" s="5"/>
    </row>
    <row r="808" spans="1:21"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c r="U808" s="5"/>
    </row>
    <row r="809" spans="1:21"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c r="U809" s="5"/>
    </row>
    <row r="810" spans="1:21"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c r="U810" s="5"/>
    </row>
    <row r="811" spans="1:21"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c r="U811" s="5"/>
    </row>
    <row r="812" spans="1:21"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c r="U812" s="5"/>
    </row>
    <row r="813" spans="1:21"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c r="U813" s="5"/>
    </row>
    <row r="814" spans="1:21"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c r="U814" s="5"/>
    </row>
    <row r="815" spans="1:21"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c r="U815" s="5"/>
    </row>
    <row r="816" spans="1:21"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c r="U816" s="5"/>
    </row>
    <row r="817" spans="1:21"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c r="U817" s="5"/>
    </row>
    <row r="818" spans="1:21"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c r="U818" s="5"/>
    </row>
    <row r="819" spans="1:21"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c r="U819" s="5"/>
    </row>
    <row r="820" spans="1:21"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c r="U820" s="5"/>
    </row>
    <row r="821" spans="1:21"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c r="U821" s="5"/>
    </row>
    <row r="822" spans="1:21"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c r="U822" s="5"/>
    </row>
    <row r="823" spans="1:21"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c r="U823" s="5"/>
    </row>
    <row r="824" spans="1:21"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c r="U824" s="5"/>
    </row>
    <row r="825" spans="1:21"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c r="U825" s="5"/>
    </row>
    <row r="826" spans="1:21"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c r="U826" s="5"/>
    </row>
    <row r="827" spans="1:21"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c r="U827" s="5"/>
    </row>
    <row r="828" spans="1:21"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c r="U828" s="5"/>
    </row>
    <row r="829" spans="1:21"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c r="U829" s="5"/>
    </row>
    <row r="830" spans="1:21"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c r="U830" s="5"/>
    </row>
    <row r="831" spans="1:21"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c r="U831" s="5"/>
    </row>
    <row r="832" spans="1:21"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c r="U832" s="5"/>
    </row>
    <row r="833" spans="1:21"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c r="U833" s="5"/>
    </row>
    <row r="834" spans="1:21"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c r="U834" s="5"/>
    </row>
    <row r="835" spans="1:21"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c r="U835" s="5"/>
    </row>
    <row r="836" spans="1:21"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c r="U836" s="5"/>
    </row>
    <row r="837" spans="1:21"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c r="U837" s="5"/>
    </row>
    <row r="838" spans="1:21"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c r="U838" s="5"/>
    </row>
    <row r="839" spans="1:21"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c r="U839" s="5"/>
    </row>
    <row r="840" spans="1:21"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c r="U840" s="5"/>
    </row>
    <row r="841" spans="1:21"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c r="U841" s="5"/>
    </row>
    <row r="842" spans="1:21"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c r="U842" s="5"/>
    </row>
    <row r="843" spans="1:21"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c r="U843" s="5"/>
    </row>
    <row r="844" spans="1:21"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c r="U844" s="5"/>
    </row>
    <row r="845" spans="1:21"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c r="U845" s="5"/>
    </row>
    <row r="846" spans="1:21"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c r="U846" s="5"/>
    </row>
    <row r="847" spans="1:21"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c r="U847" s="5"/>
    </row>
    <row r="848" spans="1:21"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c r="U848" s="5"/>
    </row>
    <row r="849" spans="1:21"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c r="U849" s="5"/>
    </row>
    <row r="850" spans="1:21"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c r="U850" s="5"/>
    </row>
    <row r="851" spans="1:21"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c r="U851" s="5"/>
    </row>
    <row r="852" spans="1:21"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c r="U852" s="5"/>
    </row>
    <row r="853" spans="1:21"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c r="U853" s="5"/>
    </row>
    <row r="854" spans="1:21"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c r="U854" s="5"/>
    </row>
    <row r="855" spans="1:21"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c r="U855" s="5"/>
    </row>
    <row r="856" spans="1:21"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c r="U856" s="5"/>
    </row>
    <row r="857" spans="1:21"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c r="U857" s="5"/>
    </row>
    <row r="858" spans="1:21"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c r="U858" s="5"/>
    </row>
    <row r="859" spans="1:21"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c r="U859" s="5"/>
    </row>
    <row r="860" spans="1:21"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c r="U860" s="5"/>
    </row>
    <row r="861" spans="1:21"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c r="U861" s="5"/>
    </row>
    <row r="862" spans="1:21"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c r="U862" s="5"/>
    </row>
    <row r="863" spans="1:21"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c r="U863" s="5"/>
    </row>
    <row r="864" spans="1:21"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c r="U864" s="5"/>
    </row>
    <row r="865" spans="1:21"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c r="U865" s="5"/>
    </row>
    <row r="866" spans="1:21"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c r="U866" s="5"/>
    </row>
    <row r="867" spans="1:21"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c r="U867" s="5"/>
    </row>
    <row r="868" spans="1:21"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c r="U868" s="5"/>
    </row>
    <row r="869" spans="1:21"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c r="U869" s="5"/>
    </row>
    <row r="870" spans="1:21"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c r="U870" s="5"/>
    </row>
    <row r="871" spans="1:21"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c r="U871" s="5"/>
    </row>
    <row r="872" spans="1:21"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c r="U872" s="5"/>
    </row>
    <row r="873" spans="1:21"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c r="U873" s="5"/>
    </row>
    <row r="874" spans="1:21"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c r="U874" s="5"/>
    </row>
    <row r="875" spans="1:21"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c r="U875" s="5"/>
    </row>
    <row r="876" spans="1:21"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c r="U876" s="5"/>
    </row>
    <row r="877" spans="1:21"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c r="U877" s="5"/>
    </row>
    <row r="878" spans="1:21"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c r="U878" s="5"/>
    </row>
    <row r="879" spans="1:21"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c r="U879" s="5"/>
    </row>
    <row r="880" spans="1:21"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c r="U880" s="5"/>
    </row>
    <row r="881" spans="1:21"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c r="U881" s="5"/>
    </row>
    <row r="882" spans="1:21"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c r="U882" s="5"/>
    </row>
    <row r="883" spans="1:21"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c r="U883" s="5"/>
    </row>
    <row r="884" spans="1:21"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c r="U884" s="5"/>
    </row>
    <row r="885" spans="1:21"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c r="U885" s="5"/>
    </row>
    <row r="886" spans="1:21"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c r="U886" s="5"/>
    </row>
    <row r="887" spans="1:21"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c r="U887" s="5"/>
    </row>
    <row r="888" spans="1:21"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c r="U888" s="5"/>
    </row>
    <row r="889" spans="1:21"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c r="U889" s="5"/>
    </row>
    <row r="890" spans="1:21"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c r="U890" s="5"/>
    </row>
    <row r="891" spans="1:21"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c r="U891" s="5"/>
    </row>
    <row r="892" spans="1:21"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c r="U892" s="5"/>
    </row>
    <row r="893" spans="1:21"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c r="U893" s="5"/>
    </row>
    <row r="894" spans="1:21"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c r="U894" s="5"/>
    </row>
    <row r="895" spans="1:21"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c r="U895" s="5"/>
    </row>
    <row r="896" spans="1:21"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c r="U896" s="5"/>
    </row>
    <row r="897" spans="1:21"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c r="U897" s="5"/>
    </row>
    <row r="898" spans="1:21"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c r="U898" s="5"/>
    </row>
    <row r="899" spans="1:21"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c r="U899" s="5"/>
    </row>
    <row r="900" spans="1:21"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c r="U900" s="5"/>
    </row>
    <row r="901" spans="1:21"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c r="U901" s="5"/>
    </row>
    <row r="902" spans="1:21"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c r="U902" s="5"/>
    </row>
    <row r="903" spans="1:21"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c r="U903" s="5"/>
    </row>
    <row r="904" spans="1:21"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c r="U904" s="5"/>
    </row>
    <row r="905" spans="1:21"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c r="U905" s="5"/>
    </row>
    <row r="906" spans="1:21"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c r="U906" s="5"/>
    </row>
    <row r="907" spans="1:21"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c r="U907" s="5"/>
    </row>
    <row r="908" spans="1:21"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c r="U908" s="5"/>
    </row>
    <row r="909" spans="1:21"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c r="U909" s="5"/>
    </row>
    <row r="910" spans="1:21"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c r="U910" s="5"/>
    </row>
    <row r="911" spans="1:21"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c r="U911" s="5"/>
    </row>
    <row r="912" spans="1:21"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c r="U912" s="5"/>
    </row>
    <row r="913" spans="1:21"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c r="U913" s="5"/>
    </row>
    <row r="914" spans="1:21"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c r="U914" s="5"/>
    </row>
    <row r="915" spans="1:21"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c r="U915" s="5"/>
    </row>
    <row r="916" spans="1:21"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c r="U916" s="5"/>
    </row>
    <row r="917" spans="1:21"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c r="U917" s="5"/>
    </row>
    <row r="918" spans="1:21"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c r="U918" s="5"/>
    </row>
    <row r="919" spans="1:21"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c r="U919" s="5"/>
    </row>
    <row r="920" spans="1:21"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c r="U920" s="5"/>
    </row>
    <row r="921" spans="1:21"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c r="U921" s="5"/>
    </row>
    <row r="922" spans="1:21"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c r="U922" s="5"/>
    </row>
    <row r="923" spans="1:21"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c r="U923" s="5"/>
    </row>
    <row r="924" spans="1:21"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c r="U924" s="5"/>
    </row>
    <row r="925" spans="1:21"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c r="U925" s="5"/>
    </row>
    <row r="926" spans="1:21"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c r="U926" s="5"/>
    </row>
    <row r="927" spans="1:21"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c r="U927" s="5"/>
    </row>
    <row r="928" spans="1:21"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c r="U928" s="5"/>
    </row>
    <row r="929" spans="1:21"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c r="U929" s="5"/>
    </row>
    <row r="930" spans="1:21"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c r="U930" s="5"/>
    </row>
    <row r="931" spans="1:21"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c r="U931" s="5"/>
    </row>
    <row r="932" spans="1:21"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c r="U932" s="5"/>
    </row>
    <row r="933" spans="1:21"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c r="U933" s="5"/>
    </row>
    <row r="934" spans="1:21"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c r="U934" s="5"/>
    </row>
    <row r="935" spans="1:21"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c r="U935" s="5"/>
    </row>
    <row r="936" spans="1:21"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c r="U936" s="5"/>
    </row>
    <row r="937" spans="1:21"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c r="U937" s="5"/>
    </row>
    <row r="938" spans="1:21"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c r="U938" s="5"/>
    </row>
    <row r="939" spans="1:21"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c r="U939" s="5"/>
    </row>
    <row r="940" spans="1:21"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c r="U940" s="5"/>
    </row>
    <row r="941" spans="1:21"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c r="U941" s="5"/>
    </row>
    <row r="942" spans="1:21"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c r="U942" s="5"/>
    </row>
    <row r="943" spans="1:21"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c r="U943" s="5"/>
    </row>
    <row r="944" spans="1:21"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c r="U944" s="5"/>
    </row>
    <row r="945" spans="1:21"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c r="U945" s="5"/>
    </row>
    <row r="946" spans="1:21"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c r="U946" s="5"/>
    </row>
    <row r="947" spans="1:21"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c r="U947" s="5"/>
    </row>
    <row r="948" spans="1:21"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c r="U948" s="5"/>
    </row>
    <row r="949" spans="1:21"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c r="U949" s="5"/>
    </row>
    <row r="950" spans="1:21"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c r="U950" s="5"/>
    </row>
    <row r="951" spans="1:21"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c r="U951" s="5"/>
    </row>
    <row r="952" spans="1:21"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c r="U952" s="5"/>
    </row>
    <row r="953" spans="1:21"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c r="U953" s="5"/>
    </row>
    <row r="954" spans="1:21"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c r="U954" s="5"/>
    </row>
    <row r="955" spans="1:21"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c r="U955" s="5"/>
    </row>
    <row r="956" spans="1:21"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c r="U956" s="5"/>
    </row>
    <row r="957" spans="1:21"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c r="U957" s="5"/>
    </row>
    <row r="958" spans="1:21"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c r="U958" s="5"/>
    </row>
    <row r="959" spans="1:21"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c r="U959" s="5"/>
    </row>
    <row r="960" spans="1:21"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c r="U960" s="5"/>
    </row>
    <row r="961" spans="1:21"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c r="U961" s="5"/>
    </row>
    <row r="962" spans="1:21"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c r="U962" s="5"/>
    </row>
    <row r="963" spans="1:21"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c r="U963" s="5"/>
    </row>
    <row r="964" spans="1:21"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c r="U964" s="5"/>
    </row>
    <row r="965" spans="1:21"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c r="U965" s="5"/>
    </row>
    <row r="966" spans="1:21"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c r="U966" s="5"/>
    </row>
    <row r="967" spans="1:21"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c r="U967" s="5"/>
    </row>
    <row r="968" spans="1:21"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c r="U968" s="5"/>
    </row>
    <row r="969" spans="1:21"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c r="U969" s="5"/>
    </row>
    <row r="970" spans="1:21"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c r="U970" s="5"/>
    </row>
    <row r="971" spans="1:21"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c r="U971" s="5"/>
    </row>
    <row r="972" spans="1:21"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c r="U972" s="5"/>
    </row>
    <row r="973" spans="1:21"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c r="U973" s="5"/>
    </row>
    <row r="974" spans="1:21"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c r="U974" s="5"/>
    </row>
    <row r="975" spans="1:21"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c r="U975" s="5"/>
    </row>
    <row r="976" spans="1:21"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c r="U976" s="5"/>
    </row>
    <row r="977" spans="1:21"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c r="U977" s="5"/>
    </row>
    <row r="978" spans="1:21"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c r="U978" s="5"/>
    </row>
    <row r="979" spans="1:21"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c r="U979" s="5"/>
    </row>
    <row r="980" spans="1:21"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c r="U980" s="5"/>
    </row>
    <row r="981" spans="1:21"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c r="U981" s="5"/>
    </row>
    <row r="982" spans="1:21"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c r="U982" s="5"/>
    </row>
    <row r="983" spans="1:21"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c r="U983" s="5"/>
    </row>
    <row r="984" spans="1:21"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c r="U984" s="5"/>
    </row>
    <row r="985" spans="1:21"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c r="U985" s="5"/>
    </row>
    <row r="986" spans="1:21"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c r="U986" s="5"/>
    </row>
    <row r="987" spans="1:21"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c r="U987" s="5"/>
    </row>
    <row r="988" spans="1:21"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c r="U988" s="5"/>
    </row>
    <row r="989" spans="1:21"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c r="U989" s="5"/>
    </row>
    <row r="990" spans="1:21"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c r="U990" s="5"/>
    </row>
    <row r="991" spans="1:21"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c r="U991" s="5"/>
    </row>
    <row r="992" spans="1:21"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c r="U992" s="5"/>
    </row>
    <row r="993" spans="1:21"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c r="U993" s="5"/>
    </row>
    <row r="994" spans="1:21"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c r="U994" s="5"/>
    </row>
    <row r="995" spans="1:21"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c r="U995" s="5"/>
    </row>
    <row r="996" spans="1:21"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c r="U996" s="5"/>
    </row>
    <row r="997" spans="1:21"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c r="U997" s="5"/>
    </row>
    <row r="998" spans="1:21"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c r="U998" s="5"/>
    </row>
    <row r="999" spans="1:21"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c r="U999" s="5"/>
    </row>
    <row r="1000" spans="1:21"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c r="U1000" s="5"/>
    </row>
    <row r="1001" spans="1:21"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c r="U1001" s="5"/>
    </row>
    <row r="1002" spans="1:21"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c r="U1002" s="5"/>
    </row>
    <row r="1003" spans="1:21"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c r="U1003" s="5"/>
    </row>
    <row r="1004" spans="1:21"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c r="U1004" s="5"/>
    </row>
    <row r="1005" spans="1:21"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c r="U1005" s="5"/>
    </row>
    <row r="1006" spans="1:21"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c r="U1006" s="5"/>
    </row>
    <row r="1007" spans="1:21"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c r="U1007" s="5"/>
    </row>
    <row r="1008" spans="1:21"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c r="U1008" s="5"/>
    </row>
    <row r="1009" spans="1:21"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c r="U1009" s="5"/>
    </row>
    <row r="1010" spans="1:21"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c r="U1010" s="5"/>
    </row>
    <row r="1011" spans="1:21"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c r="U1011" s="5"/>
    </row>
    <row r="1012" spans="1:21"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c r="U1012" s="5"/>
    </row>
    <row r="1013" spans="1:21"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c r="U1013" s="5"/>
    </row>
    <row r="1014" spans="1:21"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c r="U1014" s="5"/>
    </row>
    <row r="1015" spans="1:21"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c r="U1015" s="5"/>
    </row>
    <row r="1016" spans="1:21"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c r="U1016" s="5"/>
    </row>
    <row r="1017" spans="1:21"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c r="U1017" s="5"/>
    </row>
    <row r="1018" spans="1:21"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c r="U1018" s="5"/>
    </row>
    <row r="1019" spans="1:21"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c r="U1019" s="5"/>
    </row>
    <row r="1020" spans="1:21"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c r="U1020" s="5"/>
    </row>
    <row r="1021" spans="1:21"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c r="U1021" s="5"/>
    </row>
    <row r="1022" spans="1:21"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c r="U1022" s="5"/>
    </row>
    <row r="1023" spans="1:21"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c r="U1023" s="5"/>
    </row>
    <row r="1024" spans="1:21"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c r="U1024" s="5"/>
    </row>
    <row r="1025" spans="1:21"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c r="U1025" s="5"/>
    </row>
    <row r="1026" spans="1:21"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c r="U1026" s="5"/>
    </row>
    <row r="1027" spans="1:21"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c r="U1027" s="5"/>
    </row>
    <row r="1028" spans="1:21"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c r="U1028" s="5"/>
    </row>
    <row r="1029" spans="1:21"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c r="U1029" s="5"/>
    </row>
    <row r="1030" spans="1:21"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c r="U1030" s="5"/>
    </row>
    <row r="1031" spans="1:21"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c r="U1031" s="5"/>
    </row>
    <row r="1032" spans="1:21"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c r="U1032" s="5"/>
    </row>
    <row r="1033" spans="1:21"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c r="U1033" s="5"/>
    </row>
    <row r="1034" spans="1:21"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c r="U1034" s="5"/>
    </row>
    <row r="1035" spans="1:21"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c r="U1035" s="5"/>
    </row>
    <row r="1036" spans="1:21"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c r="U1036" s="5"/>
    </row>
    <row r="1037" spans="1:21"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c r="U1037" s="5"/>
    </row>
    <row r="1038" spans="1:21"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c r="U1038" s="5"/>
    </row>
    <row r="1039" spans="1:21"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c r="U1039" s="5"/>
    </row>
    <row r="1040" spans="1:21"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c r="U1040" s="5"/>
    </row>
    <row r="1041" spans="1:21"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c r="U1041" s="5"/>
    </row>
    <row r="1042" spans="1:21"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c r="U1042" s="5"/>
    </row>
    <row r="1043" spans="1:21"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c r="U1043" s="5"/>
    </row>
    <row r="1044" spans="1:21"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c r="U1044" s="5"/>
    </row>
    <row r="1045" spans="1:21"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c r="U1045" s="5"/>
    </row>
    <row r="1046" spans="1:21"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c r="U1046" s="5"/>
    </row>
    <row r="1047" spans="1:21"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c r="U1047" s="5"/>
    </row>
    <row r="1048" spans="1:21"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c r="U1048" s="5"/>
    </row>
    <row r="1049" spans="1:21"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c r="U1049" s="5"/>
    </row>
    <row r="1050" spans="1:21"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c r="U1050" s="5"/>
    </row>
    <row r="1051" spans="1:21"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c r="U1051" s="5"/>
    </row>
    <row r="1052" spans="1:21"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c r="U1052" s="5"/>
    </row>
    <row r="1053" spans="1:21"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c r="U1053" s="5"/>
    </row>
    <row r="1054" spans="1:21"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c r="U1054" s="5"/>
    </row>
    <row r="1055" spans="1:21"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c r="U1055" s="5"/>
    </row>
    <row r="1056" spans="1:21"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c r="U1056" s="5"/>
    </row>
    <row r="1057" spans="1:21"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c r="U1057" s="5"/>
    </row>
    <row r="1058" spans="1:21"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c r="U1058" s="5"/>
    </row>
    <row r="1059" spans="1:21"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c r="U1059" s="5"/>
    </row>
    <row r="1060" spans="1:21"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c r="U1060" s="5"/>
    </row>
    <row r="1061" spans="1:21"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c r="U1061" s="5"/>
    </row>
    <row r="1062" spans="1:21"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c r="U1062" s="5"/>
    </row>
    <row r="1063" spans="1:21"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c r="U1063" s="5"/>
    </row>
    <row r="1064" spans="1:21"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c r="U1064" s="5"/>
    </row>
    <row r="1065" spans="1:21"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c r="U1065" s="5"/>
    </row>
    <row r="1066" spans="1:21"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c r="U1066" s="5"/>
    </row>
    <row r="1067" spans="1:21"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c r="U1067" s="5"/>
    </row>
    <row r="1068" spans="1:21"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c r="U1068" s="5"/>
    </row>
    <row r="1069" spans="1:21"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c r="U1069" s="5"/>
    </row>
    <row r="1070" spans="1:21"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c r="U1070" s="5"/>
    </row>
    <row r="1071" spans="1:21"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c r="U1071" s="5"/>
    </row>
    <row r="1072" spans="1:21"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c r="U1072" s="5"/>
    </row>
    <row r="1073" spans="1:21"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c r="U1073" s="5"/>
    </row>
    <row r="1074" spans="1:21"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c r="U1074" s="5"/>
    </row>
    <row r="1075" spans="1:21"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c r="U1075" s="5"/>
    </row>
    <row r="1076" spans="1:21"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c r="U1076" s="5"/>
    </row>
    <row r="1077" spans="1:21"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c r="U1077" s="5"/>
    </row>
    <row r="1078" spans="1:21"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c r="U1078" s="5"/>
    </row>
    <row r="1079" spans="1:21"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c r="U1079" s="5"/>
    </row>
    <row r="1080" spans="1:21"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c r="U1080" s="5"/>
    </row>
    <row r="1081" spans="1:21"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c r="U1081" s="5"/>
    </row>
    <row r="1082" spans="1:21"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c r="U1082" s="5"/>
    </row>
    <row r="1083" spans="1:21"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c r="U1083" s="5"/>
    </row>
    <row r="1084" spans="1:21"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c r="U1084" s="5"/>
    </row>
    <row r="1085" spans="1:21"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c r="U1085" s="5"/>
    </row>
    <row r="1086" spans="1:21"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c r="U1086" s="5"/>
    </row>
    <row r="1087" spans="1:21"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c r="U1087" s="5"/>
    </row>
    <row r="1088" spans="1:21"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c r="U1088" s="5"/>
    </row>
    <row r="1089" spans="1:21"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c r="U1089" s="5"/>
    </row>
    <row r="1090" spans="1:21"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c r="U1090" s="5"/>
    </row>
    <row r="1091" spans="1:21"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c r="U1091" s="5"/>
    </row>
    <row r="1092" spans="1:21"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c r="U1092" s="5"/>
    </row>
    <row r="1093" spans="1:21"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c r="U1093" s="5"/>
    </row>
    <row r="1094" spans="1:21"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c r="U1094" s="5"/>
    </row>
    <row r="1095" spans="1:21"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c r="U1095" s="5"/>
    </row>
    <row r="1096" spans="1:21"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c r="U1096" s="5"/>
    </row>
    <row r="1097" spans="1:21"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c r="U1097" s="5"/>
    </row>
    <row r="1098" spans="1:21"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c r="U1098" s="5"/>
    </row>
    <row r="1099" spans="1:21"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c r="U1099" s="5"/>
    </row>
    <row r="1100" spans="1:21"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c r="U1100" s="5"/>
    </row>
    <row r="1101" spans="1:21"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c r="U1101" s="5"/>
    </row>
    <row r="1102" spans="1:21"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c r="U1102" s="5"/>
    </row>
    <row r="1103" spans="1:21"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c r="U1103" s="5"/>
    </row>
    <row r="1104" spans="1:21"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c r="U1104" s="5"/>
    </row>
    <row r="1105" spans="1:21"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c r="U1105" s="5"/>
    </row>
    <row r="1106" spans="1:21"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c r="U1106" s="5"/>
    </row>
    <row r="1107" spans="1:21"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c r="U1107" s="5"/>
    </row>
    <row r="1108" spans="1:21"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c r="U1108" s="5"/>
    </row>
    <row r="1109" spans="1:21"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c r="U1109" s="5"/>
    </row>
    <row r="1110" spans="1:21"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c r="U1110" s="5"/>
    </row>
    <row r="1111" spans="1:21"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c r="U1111" s="5"/>
    </row>
    <row r="1112" spans="1:21"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c r="U1112" s="5"/>
    </row>
    <row r="1113" spans="1:21"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c r="U1113" s="5"/>
    </row>
    <row r="1114" spans="1:21"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c r="U1114" s="5"/>
    </row>
    <row r="1115" spans="1:21"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c r="U1115" s="5"/>
    </row>
    <row r="1116" spans="1:21"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c r="U1116" s="5"/>
    </row>
    <row r="1117" spans="1:21"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c r="U1117" s="5"/>
    </row>
    <row r="1118" spans="1:21"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c r="U1118" s="5"/>
    </row>
    <row r="1119" spans="1:21"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c r="U1119" s="5"/>
    </row>
    <row r="1120" spans="1:21"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c r="U1120" s="5"/>
    </row>
    <row r="1121" spans="1:21"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c r="U1121" s="5"/>
    </row>
    <row r="1122" spans="1:21"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c r="U1122" s="5"/>
    </row>
    <row r="1123" spans="1:21"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c r="U1123" s="5"/>
    </row>
    <row r="1124" spans="1:21"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c r="U1124" s="5"/>
    </row>
    <row r="1125" spans="1:21"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c r="U1125" s="5"/>
    </row>
    <row r="1126" spans="1:21"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c r="U1126" s="5"/>
    </row>
    <row r="1127" spans="1:21"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c r="U1127" s="5"/>
    </row>
    <row r="1128" spans="1:21"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c r="U1128" s="5"/>
    </row>
    <row r="1129" spans="1:21"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c r="U1129" s="5"/>
    </row>
    <row r="1130" spans="1:21"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c r="U1130" s="5"/>
    </row>
    <row r="1131" spans="1:21"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c r="U1131" s="5"/>
    </row>
    <row r="1132" spans="1:21"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c r="U1132" s="5"/>
    </row>
    <row r="1133" spans="1:21"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c r="U1133" s="5"/>
    </row>
    <row r="1134" spans="1:21"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c r="U1134" s="5"/>
    </row>
    <row r="1135" spans="1:21"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c r="U1135" s="5"/>
    </row>
    <row r="1136" spans="1:21"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c r="U1136" s="5"/>
    </row>
    <row r="1137" spans="1:21"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c r="U1137" s="5"/>
    </row>
    <row r="1138" spans="1:21"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c r="U1138" s="5"/>
    </row>
    <row r="1139" spans="1:21"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c r="U1139" s="5"/>
    </row>
    <row r="1140" spans="1:21"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c r="U1140" s="5"/>
    </row>
    <row r="1141" spans="1:21"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c r="U1141" s="5"/>
    </row>
    <row r="1142" spans="1:21"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c r="U1142" s="5"/>
    </row>
    <row r="1143" spans="1:21"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c r="U1143" s="5"/>
    </row>
    <row r="1144" spans="1:21"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c r="U1144" s="5"/>
    </row>
    <row r="1145" spans="1:21"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c r="U1145" s="5"/>
    </row>
    <row r="1146" spans="1:21"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c r="U1146" s="5"/>
    </row>
    <row r="1147" spans="1:21"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c r="U1147" s="5"/>
    </row>
    <row r="1148" spans="1:21"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c r="U1148" s="5"/>
    </row>
    <row r="1149" spans="1:21"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c r="U1149" s="5"/>
    </row>
    <row r="1150" spans="1:21"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c r="U1150" s="5"/>
    </row>
    <row r="1151" spans="1:21"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c r="U1151" s="5"/>
    </row>
    <row r="1152" spans="1:21"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c r="U1152" s="5"/>
    </row>
    <row r="1153" spans="1:21"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c r="U1153" s="5"/>
    </row>
    <row r="1154" spans="1:21"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c r="U1154" s="5"/>
    </row>
    <row r="1155" spans="1:21"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c r="U1155" s="5"/>
    </row>
    <row r="1156" spans="1:21"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c r="U1156" s="5"/>
    </row>
    <row r="1157" spans="1:21"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c r="U1157" s="5"/>
    </row>
    <row r="1158" spans="1:21"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c r="U1158" s="5"/>
    </row>
    <row r="1159" spans="1:21"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c r="U1159" s="5"/>
    </row>
    <row r="1160" spans="1:21"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c r="U1160" s="5"/>
    </row>
    <row r="1161" spans="1:21"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c r="U1161" s="5"/>
    </row>
    <row r="1162" spans="1:21"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c r="U1162" s="5"/>
    </row>
    <row r="1163" spans="1:21"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c r="U1163" s="5"/>
    </row>
    <row r="1164" spans="1:21"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c r="U1164" s="5"/>
    </row>
    <row r="1165" spans="1:21"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c r="U1165" s="5"/>
    </row>
    <row r="1166" spans="1:21"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c r="U1166" s="5"/>
    </row>
    <row r="1167" spans="1:21"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c r="U1167" s="5"/>
    </row>
    <row r="1168" spans="1:21"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c r="U1168" s="5"/>
    </row>
    <row r="1169" spans="1:21"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c r="U1169" s="5"/>
    </row>
    <row r="1170" spans="1:21"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c r="U1170" s="5"/>
    </row>
    <row r="1171" spans="1:21"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c r="U1171" s="5"/>
    </row>
    <row r="1172" spans="1:21"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c r="U1172" s="5"/>
    </row>
    <row r="1173" spans="1:21"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c r="U1173" s="5"/>
    </row>
    <row r="1174" spans="1:21"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c r="U1174" s="5"/>
    </row>
    <row r="1175" spans="1:21"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c r="U1175" s="5"/>
    </row>
    <row r="1176" spans="1:21"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c r="U1176" s="5"/>
    </row>
    <row r="1177" spans="1:21"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c r="U1177" s="5"/>
    </row>
    <row r="1178" spans="1:21"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c r="U1178" s="5"/>
    </row>
    <row r="1179" spans="1:21"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c r="U1179" s="5"/>
    </row>
    <row r="1180" spans="1:21"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c r="U1180" s="5"/>
    </row>
    <row r="1181" spans="1:21"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c r="U1181" s="5"/>
    </row>
    <row r="1182" spans="1:21"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c r="U1182" s="5"/>
    </row>
    <row r="1183" spans="1:21"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c r="U1183" s="5"/>
    </row>
    <row r="1184" spans="1:21"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c r="U1184" s="5"/>
    </row>
    <row r="1185" spans="1:21"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c r="U1185" s="5"/>
    </row>
    <row r="1186" spans="1:21"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c r="U1186" s="5"/>
    </row>
    <row r="1187" spans="1:21"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c r="U1187" s="5"/>
    </row>
    <row r="1188" spans="1:21"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c r="U1188" s="5"/>
    </row>
    <row r="1189" spans="1:21"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c r="U1189" s="5"/>
    </row>
    <row r="1190" spans="1:21"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c r="U1190" s="5"/>
    </row>
    <row r="1191" spans="1:21"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c r="U1191" s="5"/>
    </row>
    <row r="1192" spans="1:21"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c r="U1192" s="5"/>
    </row>
    <row r="1193" spans="1:21"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c r="U1193" s="5"/>
    </row>
    <row r="1194" spans="1:21"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c r="U1194" s="5"/>
    </row>
    <row r="1195" spans="1:21"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c r="U1195" s="5"/>
    </row>
    <row r="1196" spans="1:21"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c r="U1196" s="5"/>
    </row>
    <row r="1197" spans="1:21"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c r="U1197" s="5"/>
    </row>
    <row r="1198" spans="1:21"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c r="U1198" s="5"/>
    </row>
    <row r="1199" spans="1:21"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c r="U1199" s="5"/>
    </row>
    <row r="1200" spans="1:21"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c r="U1200" s="5"/>
    </row>
    <row r="1201" spans="1:21"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c r="U1201" s="5"/>
    </row>
    <row r="1202" spans="1:21"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c r="U1202" s="5"/>
    </row>
    <row r="1203" spans="1:21"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c r="U1203" s="5"/>
    </row>
    <row r="1204" spans="1:21"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c r="U1204" s="5"/>
    </row>
    <row r="1205" spans="1:21"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c r="U1205" s="5"/>
    </row>
    <row r="1206" spans="1:21"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c r="U1206" s="5"/>
    </row>
    <row r="1207" spans="1:21"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c r="U1207" s="5"/>
    </row>
    <row r="1208" spans="1:21"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c r="U1208" s="5"/>
    </row>
    <row r="1209" spans="1:21"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c r="U1209" s="5"/>
    </row>
    <row r="1210" spans="1:21"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c r="U1210" s="5"/>
    </row>
    <row r="1211" spans="1:21"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c r="U1211" s="5"/>
    </row>
    <row r="1212" spans="1:21"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c r="U1212" s="5"/>
    </row>
    <row r="1213" spans="1:21"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c r="U1213" s="5"/>
    </row>
    <row r="1214" spans="1:21"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c r="U1214" s="5"/>
    </row>
    <row r="1215" spans="1:21"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c r="U1215" s="5"/>
    </row>
    <row r="1216" spans="1:21"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c r="U1216" s="5"/>
    </row>
    <row r="1217" spans="1:21"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c r="U1217" s="5"/>
    </row>
    <row r="1218" spans="1:21"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c r="U1218" s="5"/>
    </row>
    <row r="1219" spans="1:21"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c r="U1219" s="5"/>
    </row>
    <row r="1220" spans="1:21"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c r="U1220" s="5"/>
    </row>
    <row r="1221" spans="1:21"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c r="U1221" s="5"/>
    </row>
    <row r="1222" spans="1:21"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c r="U1222" s="5"/>
    </row>
    <row r="1223" spans="1:21"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c r="U1223" s="5"/>
    </row>
    <row r="1224" spans="1:21"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c r="U1224" s="5"/>
    </row>
    <row r="1225" spans="1:21"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c r="U1225" s="5"/>
    </row>
    <row r="1226" spans="1:21"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c r="U1226" s="5"/>
    </row>
    <row r="1227" spans="1:21"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c r="U1227" s="5"/>
    </row>
    <row r="1228" spans="1:21"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c r="U1228" s="5"/>
    </row>
    <row r="1229" spans="1:21"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c r="U1229" s="5"/>
    </row>
    <row r="1230" spans="1:21"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c r="U1230" s="5"/>
    </row>
    <row r="1231" spans="1:21"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c r="U1231" s="5"/>
    </row>
    <row r="1232" spans="1:21"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c r="U1232" s="5"/>
    </row>
    <row r="1233" spans="1:21"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c r="U1233" s="5"/>
    </row>
    <row r="1234" spans="1:21"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c r="U1234" s="5"/>
    </row>
    <row r="1235" spans="1:21"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c r="U1235" s="5"/>
    </row>
    <row r="1236" spans="1:21"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c r="U1236" s="5"/>
    </row>
    <row r="1237" spans="1:21"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c r="U1237" s="5"/>
    </row>
    <row r="1238" spans="1:21"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c r="U1238" s="5"/>
    </row>
    <row r="1239" spans="1:21"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c r="U1239" s="5"/>
    </row>
    <row r="1240" spans="1:21"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c r="U1240" s="5"/>
    </row>
    <row r="1241" spans="1:21"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c r="U1241" s="5"/>
    </row>
    <row r="1242" spans="1:21"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c r="U1242" s="5"/>
    </row>
    <row r="1243" spans="1:21"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c r="U1243" s="5"/>
    </row>
    <row r="1244" spans="1:21"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c r="U1244" s="5"/>
    </row>
    <row r="1245" spans="1:21"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c r="U1245" s="5"/>
    </row>
    <row r="1246" spans="1:21"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c r="U1246" s="5"/>
    </row>
    <row r="1247" spans="1:21"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c r="U1247" s="5"/>
    </row>
    <row r="1248" spans="1:21"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c r="U1248" s="5"/>
    </row>
    <row r="1249" spans="1:21"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c r="U1249" s="5"/>
    </row>
    <row r="1250" spans="1:21"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c r="U1250" s="5"/>
    </row>
    <row r="1251" spans="1:21"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c r="U1251" s="5"/>
    </row>
    <row r="1252" spans="1:21"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c r="U1252" s="5"/>
    </row>
    <row r="1253" spans="1:21"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c r="U1253" s="5"/>
    </row>
    <row r="1254" spans="1:21"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c r="U1254" s="5"/>
    </row>
    <row r="1255" spans="1:21"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c r="U1255" s="5"/>
    </row>
    <row r="1256" spans="1:21"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c r="U1256" s="5"/>
    </row>
    <row r="1257" spans="1:21"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c r="U1257" s="5"/>
    </row>
    <row r="1258" spans="1:21"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c r="U1258" s="5"/>
    </row>
    <row r="1259" spans="1:21"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c r="U1259" s="5"/>
    </row>
    <row r="1260" spans="1:21"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c r="U1260" s="5"/>
    </row>
    <row r="1261" spans="1:21"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c r="U1261" s="5"/>
    </row>
    <row r="1262" spans="1:21"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c r="U1262" s="5"/>
    </row>
    <row r="1263" spans="1:21"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c r="U1263" s="5"/>
    </row>
    <row r="1264" spans="1:21"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c r="U1264" s="5"/>
    </row>
    <row r="1265" spans="1:21"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c r="U1265" s="5"/>
    </row>
    <row r="1266" spans="1:21"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c r="U1266" s="5"/>
    </row>
    <row r="1267" spans="1:21"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c r="U1267" s="5"/>
    </row>
    <row r="1268" spans="1:21"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c r="U1268" s="5"/>
    </row>
    <row r="1269" spans="1:21"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c r="U1269" s="5"/>
    </row>
    <row r="1270" spans="1:21"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c r="U1270" s="5"/>
    </row>
    <row r="1271" spans="1:21"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c r="U1271" s="5"/>
    </row>
    <row r="1272" spans="1:21"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c r="U1272" s="5"/>
    </row>
    <row r="1273" spans="1:21"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c r="U1273" s="5"/>
    </row>
    <row r="1274" spans="1:21"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c r="U1274" s="5"/>
    </row>
    <row r="1275" spans="1:21"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c r="U1275" s="5"/>
    </row>
    <row r="1276" spans="1:21"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c r="U1276" s="5"/>
    </row>
    <row r="1277" spans="1:21"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c r="U1277" s="5"/>
    </row>
    <row r="1278" spans="1:21"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c r="U1278" s="5"/>
    </row>
    <row r="1279" spans="1:21"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c r="U1279" s="5"/>
    </row>
    <row r="1280" spans="1:21"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c r="U1280" s="5"/>
    </row>
    <row r="1281" spans="1:21"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c r="U1281" s="5"/>
    </row>
    <row r="1282" spans="1:21"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c r="U1282" s="5"/>
    </row>
    <row r="1283" spans="1:21"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c r="U1283" s="5"/>
    </row>
    <row r="1284" spans="1:21"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c r="U1284" s="5"/>
    </row>
    <row r="1285" spans="1:21"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c r="U1285" s="5"/>
    </row>
    <row r="1286" spans="1:21"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c r="U1286" s="5"/>
    </row>
    <row r="1287" spans="1:21"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c r="U1287" s="5"/>
    </row>
    <row r="1288" spans="1:21"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c r="U1288" s="5"/>
    </row>
    <row r="1289" spans="1:21"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c r="U1289" s="5"/>
    </row>
    <row r="1290" spans="1:21"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c r="U1290" s="5"/>
    </row>
    <row r="1291" spans="1:21"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c r="U1291" s="5"/>
    </row>
    <row r="1292" spans="1:21"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c r="U1292" s="5"/>
    </row>
    <row r="1293" spans="1:21"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c r="U1293" s="5"/>
    </row>
    <row r="1294" spans="1:21"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c r="U1294" s="5"/>
    </row>
    <row r="1295" spans="1:21"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c r="U1295" s="5"/>
    </row>
    <row r="1296" spans="1:21"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c r="U1296" s="5"/>
    </row>
    <row r="1297" spans="1:21"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c r="U1297" s="5"/>
    </row>
    <row r="1298" spans="1:21"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c r="U1298" s="5"/>
    </row>
    <row r="1299" spans="1:21"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c r="U1299" s="5"/>
    </row>
    <row r="1300" spans="1:21"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c r="U1300" s="5"/>
    </row>
    <row r="1301" spans="1:21"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c r="U1301" s="5"/>
    </row>
    <row r="1302" spans="1:21"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c r="U1302" s="5"/>
    </row>
    <row r="1303" spans="1:21"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c r="U1303" s="5"/>
    </row>
    <row r="1304" spans="1:21"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c r="U1304" s="5"/>
    </row>
    <row r="1305" spans="1:21"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c r="U1305" s="5"/>
    </row>
    <row r="1306" spans="1:21"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c r="U1306" s="5"/>
    </row>
    <row r="1307" spans="1:21"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c r="U1307" s="5"/>
    </row>
    <row r="1308" spans="1:21"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c r="U1308" s="5"/>
    </row>
    <row r="1309" spans="1:21"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c r="U1309" s="5"/>
    </row>
    <row r="1310" spans="1:21"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c r="U1310" s="5"/>
    </row>
    <row r="1311" spans="1:21"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c r="U1311" s="5"/>
    </row>
    <row r="1312" spans="1:21"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c r="U1312" s="5"/>
    </row>
    <row r="1313" spans="1:21"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c r="U1313" s="5"/>
    </row>
    <row r="1314" spans="1:21"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c r="U1314" s="5"/>
    </row>
    <row r="1315" spans="1:21"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c r="U1315" s="5"/>
    </row>
    <row r="1316" spans="1:21"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c r="U1316" s="5"/>
    </row>
    <row r="1317" spans="1:21"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c r="U1317" s="5"/>
    </row>
    <row r="1318" spans="1:21"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c r="U1318" s="5"/>
    </row>
    <row r="1319" spans="1:21"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c r="U1319" s="5"/>
    </row>
    <row r="1320" spans="1:21"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c r="U1320" s="5"/>
    </row>
    <row r="1321" spans="1:21"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c r="U1321" s="5"/>
    </row>
    <row r="1322" spans="1:21"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c r="U1322" s="5"/>
    </row>
    <row r="1323" spans="1:21"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c r="U1323" s="5"/>
    </row>
    <row r="1324" spans="1:21"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c r="U1324" s="5"/>
    </row>
    <row r="1325" spans="1:21"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c r="U1325" s="5"/>
    </row>
    <row r="1326" spans="1:21"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c r="U1326" s="5"/>
    </row>
    <row r="1327" spans="1:21"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c r="U1327" s="5"/>
    </row>
    <row r="1328" spans="1:21"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c r="U1328" s="5"/>
    </row>
    <row r="1329" spans="1:21"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c r="U1329" s="5"/>
    </row>
    <row r="1330" spans="1:21"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c r="U1330" s="5"/>
    </row>
    <row r="1331" spans="1:21"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c r="U1331" s="5"/>
    </row>
    <row r="1332" spans="1:21"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c r="U1332" s="5"/>
    </row>
    <row r="1333" spans="1:21"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c r="U1333" s="5"/>
    </row>
    <row r="1334" spans="1:21"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c r="U1334" s="5"/>
    </row>
    <row r="1335" spans="1:21"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c r="U1335" s="5"/>
    </row>
    <row r="1336" spans="1:21"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c r="U1336" s="5"/>
    </row>
    <row r="1337" spans="1:21"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c r="U1337" s="5"/>
    </row>
    <row r="1338" spans="1:21"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c r="U1338" s="5"/>
    </row>
    <row r="1339" spans="1:21"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c r="U1339" s="5"/>
    </row>
    <row r="1340" spans="1:21"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c r="U1340" s="5"/>
    </row>
    <row r="1341" spans="1:21"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c r="U1341" s="5"/>
    </row>
    <row r="1342" spans="1:21"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c r="U1342" s="5"/>
    </row>
    <row r="1343" spans="1:21"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c r="U1343" s="5"/>
    </row>
    <row r="1344" spans="1:21"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c r="U1344" s="5"/>
    </row>
    <row r="1345" spans="1:21"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c r="U1345" s="5"/>
    </row>
    <row r="1346" spans="1:21"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c r="U1346" s="5"/>
    </row>
    <row r="1347" spans="1:21"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c r="U1347" s="5"/>
    </row>
    <row r="1348" spans="1:21"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c r="U1348" s="5"/>
    </row>
    <row r="1349" spans="1:21"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c r="U1349" s="5"/>
    </row>
    <row r="1350" spans="1:21"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c r="U1350" s="5"/>
    </row>
    <row r="1351" spans="1:21"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c r="U1351" s="5"/>
    </row>
    <row r="1352" spans="1:21"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c r="U1352" s="5"/>
    </row>
    <row r="1353" spans="1:21"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c r="U1353" s="5"/>
    </row>
    <row r="1354" spans="1:21"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c r="U1354" s="5"/>
    </row>
    <row r="1355" spans="1:21"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c r="U1355" s="5"/>
    </row>
    <row r="1356" spans="1:21"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c r="U1356" s="5"/>
    </row>
    <row r="1357" spans="1:21"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c r="U1357" s="5"/>
    </row>
    <row r="1358" spans="1:21"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c r="U1358" s="5"/>
    </row>
    <row r="1359" spans="1:21"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c r="U1359" s="5"/>
    </row>
    <row r="1360" spans="1:21"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c r="U1360" s="5"/>
    </row>
    <row r="1361" spans="1:21"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c r="U1361" s="5"/>
    </row>
    <row r="1362" spans="1:21"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c r="U1362" s="5"/>
    </row>
    <row r="1363" spans="1:21"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c r="U1363" s="5"/>
    </row>
    <row r="1364" spans="1:21"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c r="U1364" s="5"/>
    </row>
    <row r="1365" spans="1:21"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c r="U1365" s="5"/>
    </row>
    <row r="1366" spans="1:21"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c r="U1366" s="5"/>
    </row>
    <row r="1367" spans="1:21"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c r="U1367" s="5"/>
    </row>
    <row r="1368" spans="1:21"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c r="U1368" s="5"/>
    </row>
    <row r="1369" spans="1:21"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c r="U1369" s="5"/>
    </row>
    <row r="1370" spans="1:21"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c r="U1370" s="5"/>
    </row>
    <row r="1371" spans="1:21"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c r="U1371" s="5"/>
    </row>
    <row r="1372" spans="1:21"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c r="U1372" s="5"/>
    </row>
    <row r="1373" spans="1:21"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c r="U1373" s="5"/>
    </row>
    <row r="1374" spans="1:21"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c r="U1374" s="5"/>
    </row>
    <row r="1375" spans="1:21"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c r="U1375" s="5"/>
    </row>
    <row r="1376" spans="1:21"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c r="U1376" s="5"/>
    </row>
    <row r="1377" spans="1:21"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c r="U1377" s="5"/>
    </row>
    <row r="1378" spans="1:21"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c r="U1378" s="5"/>
    </row>
    <row r="1379" spans="1:21"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c r="U1379" s="5"/>
    </row>
    <row r="1380" spans="1:21"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c r="U1380" s="5"/>
    </row>
    <row r="1381" spans="1:21"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c r="U1381" s="5"/>
    </row>
    <row r="1382" spans="1:21"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c r="U1382" s="5"/>
    </row>
    <row r="1383" spans="1:21"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c r="U1383" s="5"/>
    </row>
    <row r="1384" spans="1:21"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c r="U1384" s="5"/>
    </row>
    <row r="1385" spans="1:21"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c r="U1385" s="5"/>
    </row>
    <row r="1386" spans="1:21"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c r="U1386" s="5"/>
    </row>
    <row r="1387" spans="1:21"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c r="U1387" s="5"/>
    </row>
    <row r="1388" spans="1:21"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c r="U1388" s="5"/>
    </row>
    <row r="1389" spans="1:21"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c r="U1389" s="5"/>
    </row>
    <row r="1390" spans="1:21"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c r="U1390" s="5"/>
    </row>
    <row r="1391" spans="1:21"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c r="U1391" s="5"/>
    </row>
    <row r="1392" spans="1:21"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c r="U1392" s="5"/>
    </row>
    <row r="1393" spans="1:21"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c r="U1393" s="5"/>
    </row>
    <row r="1394" spans="1:21"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c r="U1394" s="5"/>
    </row>
    <row r="1395" spans="1:21"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c r="U1395" s="5"/>
    </row>
    <row r="1396" spans="1:21"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c r="U1396" s="5"/>
    </row>
    <row r="1397" spans="1:21"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c r="U1397" s="5"/>
    </row>
    <row r="1398" spans="1:21"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c r="U1398" s="5"/>
    </row>
    <row r="1399" spans="1:21"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c r="U1399" s="5"/>
    </row>
    <row r="1400" spans="1:21"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c r="U1400" s="5"/>
    </row>
    <row r="1401" spans="1:21"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c r="U1401" s="5"/>
    </row>
    <row r="1402" spans="1:21"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c r="U1402" s="5"/>
    </row>
    <row r="1403" spans="1:21"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c r="U1403" s="5"/>
    </row>
    <row r="1404" spans="1:21"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c r="U1404" s="5"/>
    </row>
    <row r="1405" spans="1:21"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c r="U1405" s="5"/>
    </row>
    <row r="1406" spans="1:21"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c r="U1406" s="5"/>
    </row>
    <row r="1407" spans="1:21"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c r="U1407" s="5"/>
    </row>
    <row r="1408" spans="1:21"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c r="U1408" s="5"/>
    </row>
    <row r="1409" spans="1:21"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c r="U1409" s="5"/>
    </row>
    <row r="1410" spans="1:21"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c r="U1410" s="5"/>
    </row>
    <row r="1411" spans="1:21"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c r="U1411" s="5"/>
    </row>
    <row r="1412" spans="1:21"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c r="U1412" s="5"/>
    </row>
    <row r="1413" spans="1:21"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c r="U1413" s="5"/>
    </row>
    <row r="1414" spans="1:21"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c r="U1414" s="5"/>
    </row>
    <row r="1415" spans="1:21"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c r="U1415" s="5"/>
    </row>
    <row r="1416" spans="1:21"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c r="U1416" s="5"/>
    </row>
    <row r="1417" spans="1:21"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c r="U1417" s="5"/>
    </row>
    <row r="1418" spans="1:21"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c r="U1418" s="5"/>
    </row>
    <row r="1419" spans="1:21"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c r="U1419" s="5"/>
    </row>
    <row r="1420" spans="1:21"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c r="U1420" s="5"/>
    </row>
    <row r="1421" spans="1:21"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c r="U1421" s="5"/>
    </row>
    <row r="1422" spans="1:21"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c r="U1422" s="5"/>
    </row>
    <row r="1423" spans="1:21"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c r="U1423" s="5"/>
    </row>
    <row r="1424" spans="1:21"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c r="U1424" s="5"/>
    </row>
    <row r="1425" spans="1:21"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c r="U1425" s="5"/>
    </row>
    <row r="1426" spans="1:21"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c r="U1426" s="5"/>
    </row>
    <row r="1427" spans="1:21"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c r="U1427" s="5"/>
    </row>
    <row r="1428" spans="1:21"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c r="U1428" s="5"/>
    </row>
    <row r="1429" spans="1:21"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c r="U1429" s="5"/>
    </row>
    <row r="1430" spans="1:21"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c r="U1430" s="5"/>
    </row>
    <row r="1431" spans="1:21"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c r="U1431" s="5"/>
    </row>
    <row r="1432" spans="1:21"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c r="U1432" s="5"/>
    </row>
    <row r="1433" spans="1:21"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c r="U1433" s="5"/>
    </row>
    <row r="1434" spans="1:21"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c r="U1434" s="5"/>
    </row>
    <row r="1435" spans="1:21"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c r="U1435" s="5"/>
    </row>
    <row r="1436" spans="1:21"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c r="U1436" s="5"/>
    </row>
    <row r="1437" spans="1:21"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c r="U1437" s="5"/>
    </row>
    <row r="1438" spans="1:21"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c r="U1438" s="5"/>
    </row>
    <row r="1439" spans="1:21"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c r="U1439" s="5"/>
    </row>
    <row r="1440" spans="1:21"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c r="U1440" s="5"/>
    </row>
    <row r="1441" spans="1:21"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c r="U1441" s="5"/>
    </row>
    <row r="1442" spans="1:21"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c r="U1442" s="5"/>
    </row>
    <row r="1443" spans="1:21"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c r="U1443" s="5"/>
    </row>
    <row r="1444" spans="1:21"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c r="U1444" s="5"/>
    </row>
    <row r="1445" spans="1:21"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c r="U1445" s="5"/>
    </row>
    <row r="1446" spans="1:21"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c r="U1446" s="5"/>
    </row>
    <row r="1447" spans="1:21"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c r="U1447" s="5"/>
    </row>
    <row r="1448" spans="1:21"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c r="U1448" s="5"/>
    </row>
    <row r="1449" spans="1:21"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c r="U1449" s="5"/>
    </row>
    <row r="1450" spans="1:21"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c r="U1450" s="5"/>
    </row>
    <row r="1451" spans="1:21"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c r="U1451" s="5"/>
    </row>
    <row r="1452" spans="1:21"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c r="U1452" s="5"/>
    </row>
    <row r="1453" spans="1:21"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c r="U1453" s="5"/>
    </row>
    <row r="1454" spans="1:21"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c r="U1454" s="5"/>
    </row>
    <row r="1455" spans="1:21"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c r="U1455" s="5"/>
    </row>
    <row r="1456" spans="1:21"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c r="U1456" s="5"/>
    </row>
    <row r="1457" spans="1:21"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c r="U1457" s="5"/>
    </row>
    <row r="1458" spans="1:21"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c r="U1458" s="5"/>
    </row>
    <row r="1459" spans="1:21"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c r="U1459" s="5"/>
    </row>
    <row r="1460" spans="1:21"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c r="U1460" s="5"/>
    </row>
    <row r="1461" spans="1:21"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c r="U1461" s="5"/>
    </row>
    <row r="1462" spans="1:21"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c r="U1462" s="5"/>
    </row>
    <row r="1463" spans="1:21"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c r="U1463" s="5"/>
    </row>
    <row r="1464" spans="1:21"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c r="U1464" s="5"/>
    </row>
    <row r="1465" spans="1:21"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c r="U1465" s="5"/>
    </row>
    <row r="1466" spans="1:21"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c r="U1466" s="5"/>
    </row>
    <row r="1467" spans="1:21"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c r="U1467" s="5"/>
    </row>
    <row r="1468" spans="1:21"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c r="U1468" s="5"/>
    </row>
    <row r="1469" spans="1:21"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c r="U1469" s="5"/>
    </row>
    <row r="1470" spans="1:21"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c r="U1470" s="5"/>
    </row>
    <row r="1471" spans="1:21"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c r="U1471" s="5"/>
    </row>
    <row r="1472" spans="1:21"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c r="U1472" s="5"/>
    </row>
    <row r="1473" spans="1:21"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c r="U1473" s="5"/>
    </row>
    <row r="1474" spans="1:21"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c r="U1474" s="5"/>
    </row>
    <row r="1475" spans="1:21"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c r="U1475" s="5"/>
    </row>
    <row r="1476" spans="1:21"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c r="U1476" s="5"/>
    </row>
    <row r="1477" spans="1:21"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c r="U1477" s="5"/>
    </row>
    <row r="1478" spans="1:21"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c r="U1478" s="5"/>
    </row>
    <row r="1479" spans="1:21"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c r="U1479" s="5"/>
    </row>
    <row r="1480" spans="1:21"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c r="U1480" s="5"/>
    </row>
    <row r="1481" spans="1:21"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c r="U1481" s="5"/>
    </row>
    <row r="1482" spans="1:21"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c r="U1482" s="5"/>
    </row>
    <row r="1483" spans="1:21"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c r="U1483" s="5"/>
    </row>
    <row r="1484" spans="1:21"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c r="U1484" s="5"/>
    </row>
    <row r="1485" spans="1:21"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c r="U1485" s="5"/>
    </row>
    <row r="1486" spans="1:21"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c r="U1486" s="5"/>
    </row>
    <row r="1487" spans="1:21"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c r="U1487" s="5"/>
    </row>
    <row r="1488" spans="1:21"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c r="U1488" s="5"/>
    </row>
    <row r="1489" spans="1:21"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c r="U1489" s="5"/>
    </row>
    <row r="1490" spans="1:21"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c r="U1490" s="5"/>
    </row>
    <row r="1491" spans="1:21"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c r="U1491" s="5"/>
    </row>
    <row r="1492" spans="1:21"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c r="U1492" s="5"/>
    </row>
    <row r="1493" spans="1:21"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c r="U1493" s="5"/>
    </row>
    <row r="1494" spans="1:21"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c r="U1494" s="5"/>
    </row>
    <row r="1495" spans="1:21"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c r="U1495" s="5"/>
    </row>
    <row r="1496" spans="1:21"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c r="U1496" s="5"/>
    </row>
    <row r="1497" spans="1:21"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c r="U1497" s="5"/>
    </row>
    <row r="1498" spans="1:21"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c r="U1498" s="5"/>
    </row>
    <row r="1499" spans="1:21"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c r="U1499" s="5"/>
    </row>
    <row r="1500" spans="1:21"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c r="U1500" s="5"/>
    </row>
    <row r="1501" spans="1:21"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c r="U1501" s="5"/>
    </row>
    <row r="1502" spans="1:21"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c r="U1502" s="5"/>
    </row>
    <row r="1503" spans="1:21"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c r="U1503" s="5"/>
    </row>
    <row r="1504" spans="1:21"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c r="U1504" s="5"/>
    </row>
    <row r="1505" spans="1:21"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c r="U1505" s="5"/>
    </row>
    <row r="1506" spans="1:21"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c r="U1506" s="5"/>
    </row>
    <row r="1507" spans="1:21"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c r="U1507" s="5"/>
    </row>
    <row r="1508" spans="1:21"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c r="U1508" s="5"/>
    </row>
    <row r="1509" spans="1:21"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c r="U1509" s="5"/>
    </row>
    <row r="1510" spans="1:21"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c r="U1510" s="5"/>
    </row>
    <row r="1511" spans="1:21"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c r="U1511" s="5"/>
    </row>
    <row r="1512" spans="1:21"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c r="U1512" s="5"/>
    </row>
    <row r="1513" spans="1:21"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c r="U1513" s="5"/>
    </row>
    <row r="1514" spans="1:21"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c r="U1514" s="5"/>
    </row>
    <row r="1515" spans="1:21"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c r="U1515" s="5"/>
    </row>
    <row r="1516" spans="1:21"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c r="U1516" s="5"/>
    </row>
    <row r="1517" spans="1:21"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c r="U1517" s="5"/>
    </row>
    <row r="1518" spans="1:21"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c r="U1518" s="5"/>
    </row>
    <row r="1519" spans="1:21"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c r="U1519" s="5"/>
    </row>
    <row r="1520" spans="1:21"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c r="U1520" s="5"/>
    </row>
    <row r="1521" spans="1:21"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c r="U1521" s="5"/>
    </row>
    <row r="1522" spans="1:21"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c r="U1522" s="5"/>
    </row>
    <row r="1523" spans="1:21"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c r="U1523" s="5"/>
    </row>
    <row r="1524" spans="1:21"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c r="U1524" s="5"/>
    </row>
    <row r="1525" spans="1:21"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c r="U1525" s="5"/>
    </row>
    <row r="1526" spans="1:21"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c r="U1526" s="5"/>
    </row>
    <row r="1527" spans="1:21"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c r="U1527" s="5"/>
    </row>
    <row r="1528" spans="1:21"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c r="U1528" s="5"/>
    </row>
    <row r="1529" spans="1:21"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c r="U1529" s="5"/>
    </row>
    <row r="1530" spans="1:21"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c r="U1530" s="5"/>
    </row>
    <row r="1531" spans="1:21"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c r="U1531" s="5"/>
    </row>
    <row r="1532" spans="1:21"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c r="U1532" s="5"/>
    </row>
    <row r="1533" spans="1:21"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c r="U1533" s="5"/>
    </row>
    <row r="1534" spans="1:21"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c r="U1534" s="5"/>
    </row>
    <row r="1535" spans="1:21"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c r="U1535" s="5"/>
    </row>
    <row r="1536" spans="1:21"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c r="U1536" s="5"/>
    </row>
    <row r="1537" spans="1:21"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c r="U1537" s="5"/>
    </row>
    <row r="1538" spans="1:21"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c r="U1538" s="5"/>
    </row>
    <row r="1539" spans="1:21"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c r="U1539" s="5"/>
    </row>
    <row r="1540" spans="1:21"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c r="U1540" s="5"/>
    </row>
    <row r="1541" spans="1:21"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c r="U1541" s="5"/>
    </row>
    <row r="1542" spans="1:21"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c r="U1542" s="5"/>
    </row>
    <row r="1543" spans="1:21"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c r="U1543" s="5"/>
    </row>
    <row r="1544" spans="1:21"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c r="U1544" s="5"/>
    </row>
    <row r="1545" spans="1:21"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c r="U1545" s="5"/>
    </row>
    <row r="1546" spans="1:21"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c r="U1546" s="5"/>
    </row>
    <row r="1547" spans="1:21"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c r="U1547" s="5"/>
    </row>
    <row r="1548" spans="1:21"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c r="U1548" s="5"/>
    </row>
    <row r="1549" spans="1:21"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c r="U1549" s="5"/>
    </row>
    <row r="1550" spans="1:21"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c r="U1550" s="5"/>
    </row>
    <row r="1551" spans="1:21"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c r="U1551" s="5"/>
    </row>
    <row r="1552" spans="1:21"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c r="U1552" s="5"/>
    </row>
    <row r="1553" spans="1:21"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c r="U1553" s="5"/>
    </row>
    <row r="1554" spans="1:21"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c r="U1554" s="5"/>
    </row>
    <row r="1555" spans="1:21"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c r="U1555" s="5"/>
    </row>
    <row r="1556" spans="1:21"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c r="U1556" s="5"/>
    </row>
    <row r="1557" spans="1:21"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c r="U1557" s="5"/>
    </row>
    <row r="1558" spans="1:21"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c r="U1558" s="5"/>
    </row>
    <row r="1559" spans="1:21"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c r="U1559" s="5"/>
    </row>
    <row r="1560" spans="1:21"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c r="U1560" s="5"/>
    </row>
    <row r="1561" spans="1:21"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c r="U1561" s="5"/>
    </row>
    <row r="1562" spans="1:21"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c r="U1562" s="5"/>
    </row>
    <row r="1563" spans="1:21"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c r="U1563" s="5"/>
    </row>
    <row r="1564" spans="1:21"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c r="U1564" s="5"/>
    </row>
    <row r="1565" spans="1:21"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c r="U1565" s="5"/>
    </row>
    <row r="1566" spans="1:21"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c r="U1566" s="5"/>
    </row>
    <row r="1567" spans="1:21"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c r="U1567" s="5"/>
    </row>
    <row r="1568" spans="1:21"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c r="U1568" s="5"/>
    </row>
    <row r="1569" spans="1:21"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c r="U1569" s="5"/>
    </row>
    <row r="1570" spans="1:21"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c r="U1570" s="5"/>
    </row>
    <row r="1571" spans="1:21"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c r="U1571" s="5"/>
    </row>
    <row r="1572" spans="1:21"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c r="U1572" s="5"/>
    </row>
    <row r="1573" spans="1:21"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c r="U1573" s="5"/>
    </row>
    <row r="1574" spans="1:21"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c r="U1574" s="5"/>
    </row>
    <row r="1575" spans="1:21"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c r="U1575" s="5"/>
    </row>
    <row r="1576" spans="1:21"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c r="U1576" s="5"/>
    </row>
    <row r="1577" spans="1:21"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c r="U1577" s="5"/>
    </row>
    <row r="1578" spans="1:21"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c r="U1578" s="5"/>
    </row>
    <row r="1579" spans="1:21"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c r="U1579" s="5"/>
    </row>
    <row r="1580" spans="1:21"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c r="U1580" s="5"/>
    </row>
    <row r="1581" spans="1:21"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c r="U1581" s="5"/>
    </row>
    <row r="1582" spans="1:21"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c r="U1582" s="5"/>
    </row>
    <row r="1583" spans="1:21"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c r="U1583" s="5"/>
    </row>
    <row r="1584" spans="1:21"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c r="U1584" s="5"/>
    </row>
    <row r="1585" spans="1:21"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c r="U1585" s="5"/>
    </row>
    <row r="1586" spans="1:21"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c r="U1586" s="5"/>
    </row>
    <row r="1587" spans="1:21"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c r="U1587" s="5"/>
    </row>
    <row r="1588" spans="1:21"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c r="U1588" s="5"/>
    </row>
    <row r="1589" spans="1:21"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c r="U1589" s="5"/>
    </row>
    <row r="1590" spans="1:21"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c r="U1590" s="5"/>
    </row>
    <row r="1591" spans="1:21"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c r="U1591" s="5"/>
    </row>
    <row r="1592" spans="1:21"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c r="U1592" s="5"/>
    </row>
    <row r="1593" spans="1:21"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c r="U1593" s="5"/>
    </row>
    <row r="1594" spans="1:21"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c r="U1594" s="5"/>
    </row>
    <row r="1595" spans="1:21"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c r="U1595" s="5"/>
    </row>
    <row r="1596" spans="1:21"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c r="U1596" s="5"/>
    </row>
    <row r="1597" spans="1:21"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c r="U1597" s="5"/>
    </row>
    <row r="1598" spans="1:21"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c r="U1598" s="5"/>
    </row>
    <row r="1599" spans="1:21"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c r="U1599" s="5"/>
    </row>
    <row r="1600" spans="1:21"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c r="U1600" s="5"/>
    </row>
    <row r="1601" spans="1:21"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c r="U1601" s="5"/>
    </row>
    <row r="1602" spans="1:21"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c r="U1602" s="5"/>
    </row>
    <row r="1603" spans="1:21"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c r="U1603" s="5"/>
    </row>
    <row r="1604" spans="1:21"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c r="U1604" s="5"/>
    </row>
    <row r="1605" spans="1:21"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c r="U1605" s="5"/>
    </row>
    <row r="1606" spans="1:21"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c r="U1606" s="5"/>
    </row>
    <row r="1607" spans="1:21"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c r="U1607" s="5"/>
    </row>
    <row r="1608" spans="1:21"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c r="U1608" s="5"/>
    </row>
    <row r="1609" spans="1:21"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c r="U1609" s="5"/>
    </row>
    <row r="1610" spans="1:21"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c r="U1610" s="5"/>
    </row>
    <row r="1611" spans="1:21"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c r="U1611" s="5"/>
    </row>
    <row r="1612" spans="1:21"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c r="U1612" s="5"/>
    </row>
    <row r="1613" spans="1:21"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c r="U1613" s="5"/>
    </row>
    <row r="1614" spans="1:21"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c r="U1614" s="5"/>
    </row>
    <row r="1615" spans="1:21"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c r="U1615" s="5"/>
    </row>
    <row r="1616" spans="1:21"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c r="U1616" s="5"/>
    </row>
    <row r="1617" spans="1:21"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c r="U1617" s="5"/>
    </row>
    <row r="1618" spans="1:21"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c r="U1618" s="5"/>
    </row>
    <row r="1619" spans="1:21"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c r="U1619" s="5"/>
    </row>
    <row r="1620" spans="1:21"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c r="U1620" s="5"/>
    </row>
    <row r="1621" spans="1:21"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c r="U1621" s="5"/>
    </row>
    <row r="1622" spans="1:21"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c r="U1622" s="5"/>
    </row>
    <row r="1623" spans="1:21"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c r="U1623" s="5"/>
    </row>
    <row r="1624" spans="1:21"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c r="U1624" s="5"/>
    </row>
    <row r="1625" spans="1:21"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c r="U1625" s="5"/>
    </row>
    <row r="1626" spans="1:21"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c r="U1626" s="5"/>
    </row>
    <row r="1627" spans="1:21"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c r="U1627" s="5"/>
    </row>
    <row r="1628" spans="1:21"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c r="U1628" s="5"/>
    </row>
    <row r="1629" spans="1:21"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c r="U1629" s="5"/>
    </row>
    <row r="1630" spans="1:21"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c r="U1630" s="5"/>
    </row>
    <row r="1631" spans="1:21"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c r="U1631" s="5"/>
    </row>
    <row r="1632" spans="1:21"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c r="U1632" s="5"/>
    </row>
    <row r="1633" spans="1:21"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c r="U1633" s="5"/>
    </row>
    <row r="1634" spans="1:21"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c r="U1634" s="5"/>
    </row>
    <row r="1635" spans="1:21"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c r="U1635" s="5"/>
    </row>
    <row r="1636" spans="1:21"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c r="U1636" s="5"/>
    </row>
    <row r="1637" spans="1:21"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c r="U1637" s="5"/>
    </row>
    <row r="1638" spans="1:21"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c r="U1638" s="5"/>
    </row>
    <row r="1639" spans="1:21"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c r="U1639" s="5"/>
    </row>
    <row r="1640" spans="1:21"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c r="U1640" s="5"/>
    </row>
    <row r="1641" spans="1:21"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c r="U1641" s="5"/>
    </row>
    <row r="1642" spans="1:21"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c r="U1642" s="5"/>
    </row>
    <row r="1643" spans="1:21"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c r="U1643" s="5"/>
    </row>
    <row r="1644" spans="1:21"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c r="U1644" s="5"/>
    </row>
    <row r="1645" spans="1:21"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c r="U1645" s="5"/>
    </row>
    <row r="1646" spans="1:21"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c r="U1646" s="5"/>
    </row>
    <row r="1647" spans="1:21"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c r="U1647" s="5"/>
    </row>
    <row r="1648" spans="1:21"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c r="U1648" s="5"/>
    </row>
    <row r="1649" spans="1:21"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c r="U1649" s="5"/>
    </row>
    <row r="1650" spans="1:21"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c r="U1650" s="5"/>
    </row>
    <row r="1651" spans="1:21"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c r="U1651" s="5"/>
    </row>
    <row r="1652" spans="1:21"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c r="U1652" s="5"/>
    </row>
    <row r="1653" spans="1:21"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c r="U1653" s="5"/>
    </row>
    <row r="1654" spans="1:21"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c r="U1654" s="5"/>
    </row>
    <row r="1655" spans="1:21"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c r="U1655" s="5"/>
    </row>
    <row r="1656" spans="1:21"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c r="U1656" s="5"/>
    </row>
    <row r="1657" spans="1:21"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c r="U1657" s="5"/>
    </row>
    <row r="1658" spans="1:21"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c r="U1658" s="5"/>
    </row>
    <row r="1659" spans="1:21"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c r="U1659" s="5"/>
    </row>
    <row r="1660" spans="1:21"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c r="U1660" s="5"/>
    </row>
    <row r="1661" spans="1:21"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c r="U1661" s="5"/>
    </row>
    <row r="1662" spans="1:21"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c r="U1662" s="5"/>
    </row>
    <row r="1663" spans="1:21"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c r="U1663" s="5"/>
    </row>
    <row r="1664" spans="1:21"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c r="U1664" s="5"/>
    </row>
    <row r="1665" spans="1:21"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c r="U1665" s="5"/>
    </row>
    <row r="1666" spans="1:21"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c r="U1666" s="5"/>
    </row>
    <row r="1667" spans="1:21"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c r="U1667" s="5"/>
    </row>
    <row r="1668" spans="1:21"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c r="U1668" s="5"/>
    </row>
    <row r="1669" spans="1:21"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c r="U1669" s="5"/>
    </row>
    <row r="1670" spans="1:21"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c r="U1670" s="5"/>
    </row>
    <row r="1671" spans="1:21"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c r="U1671" s="5"/>
    </row>
    <row r="1672" spans="1:21"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c r="U1672" s="5"/>
    </row>
    <row r="1673" spans="1:21"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c r="U1673" s="5"/>
    </row>
    <row r="1674" spans="1:21"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c r="U1674" s="5"/>
    </row>
    <row r="1675" spans="1:21"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c r="U1675" s="5"/>
    </row>
    <row r="1676" spans="1:21"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c r="U1676" s="5"/>
    </row>
    <row r="1677" spans="1:21"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c r="U1677" s="5"/>
    </row>
    <row r="1678" spans="1:21"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c r="U1678" s="5"/>
    </row>
    <row r="1679" spans="1:21"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c r="U1679" s="5"/>
    </row>
    <row r="1680" spans="1:21"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c r="U1680" s="5"/>
    </row>
    <row r="1681" spans="1:21"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c r="U1681" s="5"/>
    </row>
    <row r="1682" spans="1:21"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c r="U1682" s="5"/>
    </row>
    <row r="1683" spans="1:21"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c r="U1683" s="5"/>
    </row>
    <row r="1684" spans="1:21"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c r="U1684" s="5"/>
    </row>
    <row r="1685" spans="1:21"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c r="U1685" s="5"/>
    </row>
    <row r="1686" spans="1:21"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c r="U1686" s="5"/>
    </row>
    <row r="1687" spans="1:21"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c r="U1687" s="5"/>
    </row>
    <row r="1688" spans="1:21"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c r="U1688" s="5"/>
    </row>
    <row r="1689" spans="1:21"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c r="U1689" s="5"/>
    </row>
    <row r="1690" spans="1:21"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c r="U1690" s="5"/>
    </row>
    <row r="1691" spans="1:21"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c r="U1691" s="5"/>
    </row>
    <row r="1692" spans="1:21"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c r="U1692" s="5"/>
    </row>
    <row r="1693" spans="1:21"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c r="U1693" s="5"/>
    </row>
    <row r="1694" spans="1:21"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c r="U1694" s="5"/>
    </row>
    <row r="1695" spans="1:21"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c r="U1695" s="5"/>
    </row>
    <row r="1696" spans="1:21"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c r="U1696" s="5"/>
    </row>
    <row r="1697" spans="1:21"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c r="U1697" s="5"/>
    </row>
    <row r="1698" spans="1:21"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c r="U1698" s="5"/>
    </row>
    <row r="1699" spans="1:21"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c r="U1699" s="5"/>
    </row>
    <row r="1700" spans="1:21"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c r="U1700" s="5"/>
    </row>
    <row r="1701" spans="1:21"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c r="U1701" s="5"/>
    </row>
    <row r="1702" spans="1:21"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c r="U1702" s="5"/>
    </row>
    <row r="1703" spans="1:21"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c r="U1703" s="5"/>
    </row>
    <row r="1704" spans="1:21"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c r="U1704" s="5"/>
    </row>
    <row r="1705" spans="1:21"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c r="U1705" s="5"/>
    </row>
    <row r="1706" spans="1:21"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c r="U1706" s="5"/>
    </row>
    <row r="1707" spans="1:21"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c r="U1707" s="5"/>
    </row>
    <row r="1708" spans="1:21"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c r="U1708" s="5"/>
    </row>
    <row r="1709" spans="1:21"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c r="U1709" s="5"/>
    </row>
    <row r="1710" spans="1:21"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c r="U1710" s="5"/>
    </row>
    <row r="1711" spans="1:21"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c r="U1711" s="5"/>
    </row>
    <row r="1712" spans="1:21"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c r="U1712" s="5"/>
    </row>
    <row r="1713" spans="1:21"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c r="U1713" s="5"/>
    </row>
    <row r="1714" spans="1:21"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c r="U1714" s="5"/>
    </row>
    <row r="1715" spans="1:21"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c r="U1715" s="5"/>
    </row>
    <row r="1716" spans="1:21"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c r="U1716" s="5"/>
    </row>
    <row r="1717" spans="1:21"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c r="U1717" s="5"/>
    </row>
    <row r="1718" spans="1:21"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c r="U1718" s="5"/>
    </row>
    <row r="1719" spans="1:21"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c r="U1719" s="5"/>
    </row>
    <row r="1720" spans="1:21"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c r="U1720" s="5"/>
    </row>
    <row r="1721" spans="1:21"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c r="U1721" s="5"/>
    </row>
    <row r="1722" spans="1:21"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c r="U1722" s="5"/>
    </row>
    <row r="1723" spans="1:21"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c r="U1723" s="5"/>
    </row>
    <row r="1724" spans="1:21"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c r="U1724" s="5"/>
    </row>
    <row r="1725" spans="1:21"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c r="U1725" s="5"/>
    </row>
    <row r="1726" spans="1:21"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c r="U1726" s="5"/>
    </row>
    <row r="1727" spans="1:21"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c r="U1727" s="5"/>
    </row>
    <row r="1728" spans="1:21"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c r="U1728" s="5"/>
    </row>
    <row r="1729" spans="1:21"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c r="U1729" s="5"/>
    </row>
    <row r="1730" spans="1:21"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c r="U1730" s="5"/>
    </row>
    <row r="1731" spans="1:21"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c r="U1731" s="5"/>
    </row>
    <row r="1732" spans="1:21"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c r="U1732" s="5"/>
    </row>
    <row r="1733" spans="1:21"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c r="U1733" s="5"/>
    </row>
    <row r="1734" spans="1:21"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c r="U1734" s="5"/>
    </row>
    <row r="1735" spans="1:21"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c r="U1735" s="5"/>
    </row>
    <row r="1736" spans="1:21"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c r="U1736" s="5"/>
    </row>
    <row r="1737" spans="1:21"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c r="U1737" s="5"/>
    </row>
    <row r="1738" spans="1:21"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c r="U1738" s="5"/>
    </row>
    <row r="1739" spans="1:21"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c r="U1739" s="5"/>
    </row>
    <row r="1740" spans="1:21"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c r="U1740" s="5"/>
    </row>
    <row r="1741" spans="1:21"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c r="U1741" s="5"/>
    </row>
    <row r="1742" spans="1:21"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c r="U1742" s="5"/>
    </row>
    <row r="1743" spans="1:21"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c r="U1743" s="5"/>
    </row>
    <row r="1744" spans="1:21"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c r="U1744" s="5"/>
    </row>
    <row r="1745" spans="1:21"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c r="U1745" s="5"/>
    </row>
    <row r="1746" spans="1:21"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c r="U1746" s="5"/>
    </row>
    <row r="1747" spans="1:21"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c r="U1747" s="5"/>
    </row>
    <row r="1748" spans="1:21"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c r="U1748" s="5"/>
    </row>
    <row r="1749" spans="1:21"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c r="U1749" s="5"/>
    </row>
    <row r="1750" spans="1:21"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c r="U1750" s="5"/>
    </row>
    <row r="1751" spans="1:21"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c r="U1751" s="5"/>
    </row>
    <row r="1752" spans="1:21"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c r="U1752" s="5"/>
    </row>
    <row r="1753" spans="1:21"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c r="U1753" s="5"/>
    </row>
    <row r="1754" spans="1:21"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c r="U1754" s="5"/>
    </row>
    <row r="1755" spans="1:21"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c r="U1755" s="5"/>
    </row>
    <row r="1756" spans="1:21"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c r="U1756" s="5"/>
    </row>
    <row r="1757" spans="1:21"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c r="U1757" s="5"/>
    </row>
    <row r="1758" spans="1:21"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c r="U1758" s="5"/>
    </row>
    <row r="1759" spans="1:21"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c r="U1759" s="5"/>
    </row>
    <row r="1760" spans="1:21"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c r="U1760" s="5"/>
    </row>
    <row r="1761" spans="1:21"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c r="U1761" s="5"/>
    </row>
    <row r="1762" spans="1:21"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c r="U1762" s="5"/>
    </row>
    <row r="1763" spans="1:21"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c r="U1763" s="5"/>
    </row>
    <row r="1764" spans="1:21"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c r="U1764" s="5"/>
    </row>
    <row r="1765" spans="1:21"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c r="U1765" s="5"/>
    </row>
    <row r="1766" spans="1:21"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c r="U1766" s="5"/>
    </row>
    <row r="1767" spans="1:21"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c r="U1767" s="5"/>
    </row>
    <row r="1768" spans="1:21"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c r="U1768" s="5"/>
    </row>
    <row r="1769" spans="1:21"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c r="U1769" s="5"/>
    </row>
    <row r="1770" spans="1:21"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c r="U1770" s="5"/>
    </row>
    <row r="1771" spans="1:21"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c r="U1771" s="5"/>
    </row>
    <row r="1772" spans="1:21"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c r="U1772" s="5"/>
    </row>
    <row r="1773" spans="1:21"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c r="U1773" s="5"/>
    </row>
    <row r="1774" spans="1:21"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c r="U1774" s="5"/>
    </row>
    <row r="1775" spans="1:21"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c r="U1775" s="5"/>
    </row>
    <row r="1776" spans="1:21"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c r="U1776" s="5"/>
    </row>
    <row r="1777" spans="1:21"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c r="U1777" s="5"/>
    </row>
    <row r="1778" spans="1:21"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c r="U1778" s="5"/>
    </row>
    <row r="1779" spans="1:21"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c r="U1779" s="5"/>
    </row>
    <row r="1780" spans="1:21"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c r="U1780" s="5"/>
    </row>
    <row r="1781" spans="1:21"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c r="U1781" s="5"/>
    </row>
    <row r="1782" spans="1:21"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c r="U1782" s="5"/>
    </row>
    <row r="1783" spans="1:21"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c r="U1783" s="5"/>
    </row>
    <row r="1784" spans="1:21"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c r="U1784" s="5"/>
    </row>
    <row r="1785" spans="1:21"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c r="U1785" s="5"/>
    </row>
    <row r="1786" spans="1:21"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c r="U1786" s="5"/>
    </row>
    <row r="1787" spans="1:21"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c r="U1787" s="5"/>
    </row>
    <row r="1788" spans="1:21"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c r="U1788" s="5"/>
    </row>
    <row r="1789" spans="1:21"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c r="U1789" s="5"/>
    </row>
    <row r="1790" spans="1:21"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c r="U1790" s="5"/>
    </row>
    <row r="1791" spans="1:21"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c r="U1791" s="5"/>
    </row>
    <row r="1792" spans="1:21"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c r="U1792" s="5"/>
    </row>
    <row r="1793" spans="1:21"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c r="U1793" s="5"/>
    </row>
    <row r="1794" spans="1:21"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c r="U1794" s="5"/>
    </row>
    <row r="1795" spans="1:21"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c r="U1795" s="5"/>
    </row>
    <row r="1796" spans="1:21"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c r="U1796" s="5"/>
    </row>
    <row r="1797" spans="1:21"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c r="U1797" s="5"/>
    </row>
    <row r="1798" spans="1:21"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c r="U1798" s="5"/>
    </row>
    <row r="1799" spans="1:21"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c r="U1799" s="5"/>
    </row>
    <row r="1800" spans="1:21"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c r="U1800" s="5"/>
    </row>
    <row r="1801" spans="1:21"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c r="U1801" s="5"/>
    </row>
    <row r="1802" spans="1:21"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c r="U1802" s="5"/>
    </row>
    <row r="1803" spans="1:21"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c r="U1803" s="5"/>
    </row>
    <row r="1804" spans="1:21"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c r="U1804" s="5"/>
    </row>
    <row r="1805" spans="1:21"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c r="U1805" s="5"/>
    </row>
    <row r="1806" spans="1:21"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c r="U1806" s="5"/>
    </row>
    <row r="1807" spans="1:21"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c r="U1807" s="5"/>
    </row>
    <row r="1808" spans="1:21"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c r="U1808" s="5"/>
    </row>
    <row r="1809" spans="1:21"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c r="U1809" s="5"/>
    </row>
    <row r="1810" spans="1:21"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c r="U1810" s="5"/>
    </row>
    <row r="1811" spans="1:21"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c r="U1811" s="5"/>
    </row>
    <row r="1812" spans="1:21"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c r="U1812" s="5"/>
    </row>
    <row r="1813" spans="1:21"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c r="U1813" s="5"/>
    </row>
    <row r="1814" spans="1:21"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c r="U1814" s="5"/>
    </row>
    <row r="1815" spans="1:21"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c r="U1815" s="5"/>
    </row>
    <row r="1816" spans="1:21"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c r="U1816" s="5"/>
    </row>
    <row r="1817" spans="1:21"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c r="U1817" s="5"/>
    </row>
    <row r="1818" spans="1:21"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c r="U1818" s="5"/>
    </row>
    <row r="1819" spans="1:21"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c r="U1819" s="5"/>
    </row>
    <row r="1820" spans="1:21"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c r="U1820" s="5"/>
    </row>
    <row r="1821" spans="1:21"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c r="U1821" s="5"/>
    </row>
    <row r="1822" spans="1:21"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c r="U1822" s="5"/>
    </row>
    <row r="1823" spans="1:21"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c r="U1823" s="5"/>
    </row>
    <row r="1824" spans="1:21"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c r="U1824" s="5"/>
    </row>
    <row r="1825" spans="1:21"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c r="U1825" s="5"/>
    </row>
    <row r="1826" spans="1:21"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c r="U1826" s="5"/>
    </row>
    <row r="1827" spans="1:21"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c r="U1827" s="5"/>
    </row>
    <row r="1828" spans="1:21"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c r="U1828" s="5"/>
    </row>
    <row r="1829" spans="1:21"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c r="U1829" s="5"/>
    </row>
    <row r="1830" spans="1:21"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c r="U1830" s="5"/>
    </row>
    <row r="1831" spans="1:21"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c r="U1831" s="5"/>
    </row>
    <row r="1832" spans="1:21"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c r="U1832" s="5"/>
    </row>
    <row r="1833" spans="1:21"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c r="U1833" s="5"/>
    </row>
    <row r="1834" spans="1:21"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c r="U1834" s="5"/>
    </row>
    <row r="1835" spans="1:21"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c r="U1835" s="5"/>
    </row>
    <row r="1836" spans="1:21"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c r="U1836" s="5"/>
    </row>
    <row r="1837" spans="1:21"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c r="U1837" s="5"/>
    </row>
    <row r="1838" spans="1:21"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c r="U1838" s="5"/>
    </row>
    <row r="1839" spans="1:21"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c r="U1839" s="5"/>
    </row>
    <row r="1840" spans="1:21"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c r="U1840" s="5"/>
    </row>
    <row r="1841" spans="1:21"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c r="U1841" s="5"/>
    </row>
    <row r="1842" spans="1:21"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c r="U1842" s="5"/>
    </row>
    <row r="1843" spans="1:21"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c r="U1843" s="5"/>
    </row>
    <row r="1844" spans="1:21"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c r="U1844" s="5"/>
    </row>
    <row r="1845" spans="1:21"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c r="U1845" s="5"/>
    </row>
    <row r="1846" spans="1:21"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c r="U1846" s="5"/>
    </row>
    <row r="1847" spans="1:21"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c r="U1847" s="5"/>
    </row>
    <row r="1848" spans="1:21"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c r="U1848" s="5"/>
    </row>
    <row r="1849" spans="1:21"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c r="U1849" s="5"/>
    </row>
    <row r="1850" spans="1:21"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c r="U1850" s="5"/>
    </row>
    <row r="1851" spans="1:21"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c r="U1851" s="5"/>
    </row>
    <row r="1852" spans="1:21"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c r="U1852" s="5"/>
    </row>
    <row r="1853" spans="1:21"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c r="U1853" s="5"/>
    </row>
    <row r="1854" spans="1:21"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c r="U1854" s="5"/>
    </row>
    <row r="1855" spans="1:21"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c r="U1855" s="5"/>
    </row>
    <row r="1856" spans="1:21"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c r="U1856" s="5"/>
    </row>
    <row r="1857" spans="1:21"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c r="U1857" s="5"/>
    </row>
    <row r="1858" spans="1:21"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c r="U1858" s="5"/>
    </row>
    <row r="1859" spans="1:21"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c r="U1859" s="5"/>
    </row>
    <row r="1860" spans="1:21"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c r="U1860" s="5"/>
    </row>
    <row r="1861" spans="1:21"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c r="U1861" s="5"/>
    </row>
    <row r="1862" spans="1:21"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c r="U1862" s="5"/>
    </row>
    <row r="1863" spans="1:21"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c r="U1863" s="5"/>
    </row>
    <row r="1864" spans="1:21"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c r="U1864" s="5"/>
    </row>
    <row r="1865" spans="1:21"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c r="U1865" s="5"/>
    </row>
    <row r="1866" spans="1:21"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c r="U1866" s="5"/>
    </row>
    <row r="1867" spans="1:21"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c r="U1867" s="5"/>
    </row>
    <row r="1868" spans="1:21"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c r="U1868" s="5"/>
    </row>
    <row r="1869" spans="1:21"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c r="U1869" s="5"/>
    </row>
    <row r="1870" spans="1:21"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c r="U1870" s="5"/>
    </row>
    <row r="1871" spans="1:21"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c r="U1871" s="5"/>
    </row>
    <row r="1872" spans="1:21"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c r="U1872" s="5"/>
    </row>
    <row r="1873" spans="1:21"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c r="U1873" s="5"/>
    </row>
    <row r="1874" spans="1:21"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c r="U1874" s="5"/>
    </row>
    <row r="1875" spans="1:21"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c r="U1875" s="5"/>
    </row>
    <row r="1876" spans="1:21"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c r="U1876" s="5"/>
    </row>
    <row r="1877" spans="1:21"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c r="U1877" s="5"/>
    </row>
    <row r="1878" spans="1:21"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c r="U1878" s="5"/>
    </row>
    <row r="1879" spans="1:21"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c r="U1879" s="5"/>
    </row>
    <row r="1880" spans="1:21"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c r="U1880" s="5"/>
    </row>
    <row r="1881" spans="1:21"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c r="U1881" s="5"/>
    </row>
    <row r="1882" spans="1:21"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c r="U1882" s="5"/>
    </row>
    <row r="1883" spans="1:21"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c r="U1883" s="5"/>
    </row>
    <row r="1884" spans="1:21"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c r="U1884" s="5"/>
    </row>
    <row r="1885" spans="1:21"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c r="U1885" s="5"/>
    </row>
    <row r="1886" spans="1:21"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c r="U1886" s="5"/>
    </row>
    <row r="1887" spans="1:21"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c r="U1887" s="5"/>
    </row>
    <row r="1888" spans="1:21"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c r="U1888" s="5"/>
    </row>
    <row r="1889" spans="1:21"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c r="U1889" s="5"/>
    </row>
    <row r="1890" spans="1:21"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c r="U1890" s="5"/>
    </row>
    <row r="1891" spans="1:21"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c r="U1891" s="5"/>
    </row>
    <row r="1892" spans="1:21"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c r="U1892" s="5"/>
    </row>
    <row r="1893" spans="1:21"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c r="U1893" s="5"/>
    </row>
    <row r="1894" spans="1:21"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c r="U1894" s="5"/>
    </row>
    <row r="1895" spans="1:21"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c r="U1895" s="5"/>
    </row>
    <row r="1896" spans="1:21"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c r="U1896" s="5"/>
    </row>
    <row r="1897" spans="1:21"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c r="U1897" s="5"/>
    </row>
    <row r="1898" spans="1:21"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c r="U1898" s="5"/>
    </row>
    <row r="1899" spans="1:21"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c r="U1899" s="5"/>
    </row>
    <row r="1900" spans="1:21"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c r="U1900" s="5"/>
    </row>
    <row r="1901" spans="1:21"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c r="U1901" s="5"/>
    </row>
    <row r="1902" spans="1:21"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c r="U1902" s="5"/>
    </row>
    <row r="1903" spans="1:21"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c r="U1903" s="5"/>
    </row>
    <row r="1904" spans="1:21"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c r="U1904" s="5"/>
    </row>
    <row r="1905" spans="1:21"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c r="U1905" s="5"/>
    </row>
    <row r="1906" spans="1:21"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c r="U1906" s="5"/>
    </row>
    <row r="1907" spans="1:21"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c r="U1907" s="5"/>
    </row>
    <row r="1908" spans="1:21"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c r="U1908" s="5"/>
    </row>
    <row r="1909" spans="1:21"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c r="U1909" s="5"/>
    </row>
    <row r="1910" spans="1:21"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c r="U1910" s="5"/>
    </row>
    <row r="1911" spans="1:21"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c r="U1911" s="5"/>
    </row>
    <row r="1912" spans="1:21"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c r="U1912" s="5"/>
    </row>
    <row r="1913" spans="1:21"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c r="U1913" s="5"/>
    </row>
    <row r="1914" spans="1:21"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c r="U1914" s="5"/>
    </row>
    <row r="1915" spans="1:21"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c r="U1915" s="5"/>
    </row>
    <row r="1916" spans="1:21"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c r="U1916" s="5"/>
    </row>
    <row r="1917" spans="1:21"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c r="U1917" s="5"/>
    </row>
    <row r="1918" spans="1:21"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c r="U1918" s="5"/>
    </row>
    <row r="1919" spans="1:21"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c r="U1919" s="5"/>
    </row>
    <row r="1920" spans="1:21"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c r="U1920" s="5"/>
    </row>
    <row r="1921" spans="1:21"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c r="U1921" s="5"/>
    </row>
    <row r="1922" spans="1:21"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c r="U1922" s="5"/>
    </row>
    <row r="1923" spans="1:21"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c r="U1923" s="5"/>
    </row>
    <row r="1924" spans="1:21"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c r="U1924" s="5"/>
    </row>
    <row r="1925" spans="1:21"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c r="U1925" s="5"/>
    </row>
    <row r="1926" spans="1:21"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c r="U1926" s="5"/>
    </row>
    <row r="1927" spans="1:21"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c r="U1927" s="5"/>
    </row>
    <row r="1928" spans="1:21"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c r="U1928" s="5"/>
    </row>
    <row r="1929" spans="1:21"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c r="U1929" s="5"/>
    </row>
    <row r="1930" spans="1:21"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c r="U1930" s="5"/>
    </row>
    <row r="1931" spans="1:21"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c r="U1931" s="5"/>
    </row>
    <row r="1932" spans="1:21"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c r="U1932" s="5"/>
    </row>
    <row r="1933" spans="1:21"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c r="U1933" s="5"/>
    </row>
    <row r="1934" spans="1:21"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c r="U1934" s="5"/>
    </row>
    <row r="1935" spans="1:21"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c r="U1935" s="5"/>
    </row>
    <row r="1936" spans="1:21"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c r="U1936" s="5"/>
    </row>
    <row r="1937" spans="1:21"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c r="U1937" s="5"/>
    </row>
    <row r="1938" spans="1:21"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c r="U1938" s="5"/>
    </row>
    <row r="1939" spans="1:21"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c r="U1939" s="5"/>
    </row>
    <row r="1940" spans="1:21"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c r="U1940" s="5"/>
    </row>
    <row r="1941" spans="1:21"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c r="U1941" s="5"/>
    </row>
    <row r="1942" spans="1:21"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c r="U1942" s="5"/>
    </row>
    <row r="1943" spans="1:21"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c r="U1943" s="5"/>
    </row>
    <row r="1944" spans="1:21"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c r="U1944" s="5"/>
    </row>
    <row r="1945" spans="1:21"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c r="U1945" s="5"/>
    </row>
    <row r="1946" spans="1:21"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c r="U1946" s="5"/>
    </row>
    <row r="1947" spans="1:21"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c r="U1947" s="5"/>
    </row>
    <row r="1948" spans="1:21"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c r="U1948" s="5"/>
    </row>
    <row r="1949" spans="1:21"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c r="U1949" s="5"/>
    </row>
    <row r="1950" spans="1:21"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c r="U1950" s="5"/>
    </row>
    <row r="1951" spans="1:21"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c r="U1951" s="5"/>
    </row>
    <row r="1952" spans="1:21"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c r="U1952" s="5"/>
    </row>
    <row r="1953" spans="1:21"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c r="U1953" s="5"/>
    </row>
    <row r="1954" spans="1:21"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c r="U1954" s="5"/>
    </row>
    <row r="1955" spans="1:21"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c r="U1955" s="5"/>
    </row>
    <row r="1956" spans="1:21"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c r="U1956" s="5"/>
    </row>
    <row r="1957" spans="1:21"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c r="U1957" s="5"/>
    </row>
    <row r="1958" spans="1:21"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c r="U1958" s="5"/>
    </row>
    <row r="1959" spans="1:21"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c r="U1959" s="5"/>
    </row>
    <row r="1960" spans="1:21"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c r="U1960" s="5"/>
    </row>
    <row r="1961" spans="1:21"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c r="U1961" s="5"/>
    </row>
    <row r="1962" spans="1:21"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c r="U1962" s="5"/>
    </row>
    <row r="1963" spans="1:21"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c r="U1963" s="5"/>
    </row>
    <row r="1964" spans="1:21"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c r="U1964" s="5"/>
    </row>
    <row r="1965" spans="1:21"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c r="U1965" s="5"/>
    </row>
    <row r="1966" spans="1:21"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c r="U1966" s="5"/>
    </row>
    <row r="1967" spans="1:21"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c r="U1967" s="5"/>
    </row>
    <row r="1968" spans="1:21"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c r="U1968" s="5"/>
    </row>
    <row r="1969" spans="1:21"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c r="U1969" s="5"/>
    </row>
    <row r="1970" spans="1:21"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c r="U1970" s="5"/>
    </row>
    <row r="1971" spans="1:21"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c r="U1971" s="5"/>
    </row>
    <row r="1972" spans="1:21"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c r="U1972" s="5"/>
    </row>
    <row r="1973" spans="1:21"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c r="U1973" s="5"/>
    </row>
    <row r="1974" spans="1:21"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c r="U1974" s="5"/>
    </row>
    <row r="1975" spans="1:21"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c r="U1975" s="5"/>
    </row>
    <row r="1976" spans="1:21"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c r="U1976" s="5"/>
    </row>
    <row r="1977" spans="1:21"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c r="U1977" s="5"/>
    </row>
    <row r="1978" spans="1:21"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c r="U1978" s="5"/>
    </row>
    <row r="1979" spans="1:21"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c r="U1979" s="5"/>
    </row>
    <row r="1980" spans="1:21"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c r="U1980" s="5"/>
    </row>
    <row r="1981" spans="1:21"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c r="U1981" s="5"/>
    </row>
    <row r="1982" spans="1:21"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c r="U1982" s="5"/>
    </row>
    <row r="1983" spans="1:21"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c r="U1983" s="5"/>
    </row>
    <row r="1984" spans="1:21"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c r="U1984" s="5"/>
    </row>
    <row r="1985" spans="1:21"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c r="U1985" s="5"/>
    </row>
    <row r="1986" spans="1:21"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c r="U1986" s="5"/>
    </row>
    <row r="1987" spans="1:21"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c r="U1987" s="5"/>
    </row>
    <row r="1988" spans="1:21"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c r="U1988" s="5"/>
    </row>
    <row r="1989" spans="1:21"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c r="U1989" s="5"/>
    </row>
    <row r="1990" spans="1:21"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c r="U1990" s="5"/>
    </row>
    <row r="1991" spans="1:21"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c r="U1991" s="5"/>
    </row>
    <row r="1992" spans="1:21"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c r="U1992" s="5"/>
    </row>
    <row r="1993" spans="1:21"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c r="U1993" s="5"/>
    </row>
    <row r="1994" spans="1:21"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c r="U1994" s="5"/>
    </row>
    <row r="1995" spans="1:21"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c r="U1995" s="5"/>
    </row>
    <row r="1996" spans="1:21"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c r="U1996" s="5"/>
    </row>
    <row r="1997" spans="1:21"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c r="U1997" s="5"/>
    </row>
    <row r="1998" spans="1:21"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c r="U1998" s="5"/>
    </row>
    <row r="1999" spans="1:21"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c r="U1999" s="5"/>
    </row>
    <row r="2000" spans="1:21"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c r="U2000" s="5"/>
    </row>
    <row r="2001" spans="1:21"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c r="U2001" s="5"/>
    </row>
    <row r="2002" spans="1:21"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c r="U2002" s="5"/>
    </row>
    <row r="2003" spans="1:21"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c r="U2003" s="5"/>
    </row>
    <row r="2004" spans="1:21"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c r="U2004" s="5"/>
    </row>
    <row r="2005" spans="1:21"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c r="U2005" s="5"/>
    </row>
    <row r="2006" spans="1:21"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c r="U2006" s="5"/>
    </row>
    <row r="2007" spans="1:21"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c r="U2007" s="5"/>
    </row>
    <row r="2008" spans="1:21"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c r="U2008" s="5"/>
    </row>
    <row r="2009" spans="1:21"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c r="U2009" s="5"/>
    </row>
    <row r="2010" spans="1:21"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c r="U2010" s="5"/>
    </row>
    <row r="2011" spans="1:21"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c r="U2011" s="5"/>
    </row>
    <row r="2012" spans="1:21"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c r="U2012" s="5"/>
    </row>
    <row r="2013" spans="1:21"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c r="U2013" s="5"/>
    </row>
    <row r="2014" spans="1:21"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c r="U2014" s="5"/>
    </row>
    <row r="2015" spans="1:21"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c r="U2015" s="5"/>
    </row>
    <row r="2016" spans="1:21"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c r="U2016" s="5"/>
    </row>
    <row r="2017" spans="1:21"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c r="U2017" s="5"/>
    </row>
    <row r="2018" spans="1:21"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c r="U2018" s="5"/>
    </row>
    <row r="2019" spans="1:21"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c r="U2019" s="5"/>
    </row>
    <row r="2020" spans="1:21"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c r="U2020" s="5"/>
    </row>
    <row r="2021" spans="1:21"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c r="U2021" s="5"/>
    </row>
    <row r="2022" spans="1:21"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c r="U2022" s="5"/>
    </row>
    <row r="2023" spans="1:21"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c r="U2023" s="5"/>
    </row>
    <row r="2024" spans="1:21"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c r="U2024" s="5"/>
    </row>
    <row r="2025" spans="1:21"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c r="U2025" s="5"/>
    </row>
    <row r="2026" spans="1:21"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c r="U2026" s="5"/>
    </row>
    <row r="2027" spans="1:21"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c r="U2027" s="5"/>
    </row>
    <row r="2028" spans="1:21"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c r="U2028" s="5"/>
    </row>
    <row r="2029" spans="1:21"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c r="U2029" s="5"/>
    </row>
    <row r="2030" spans="1:21"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c r="U2030" s="5"/>
    </row>
    <row r="2031" spans="1:21"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c r="U2031" s="5"/>
    </row>
    <row r="2032" spans="1:21"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c r="U2032" s="5"/>
    </row>
    <row r="2033" spans="1:21"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c r="U2033" s="5"/>
    </row>
    <row r="2034" spans="1:21"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c r="U2034" s="5"/>
    </row>
    <row r="2035" spans="1:21"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c r="U2035" s="5"/>
    </row>
    <row r="2036" spans="1:21"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c r="U2036" s="5"/>
    </row>
    <row r="2037" spans="1:21"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c r="U2037" s="5"/>
    </row>
    <row r="2038" spans="1:21"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c r="U2038" s="5"/>
    </row>
    <row r="2039" spans="1:21"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c r="U2039" s="5"/>
    </row>
    <row r="2040" spans="1:21"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c r="U2040" s="5"/>
    </row>
    <row r="2041" spans="1:21"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c r="U2041" s="5"/>
    </row>
    <row r="2042" spans="1:21"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c r="U2042" s="5"/>
    </row>
    <row r="2043" spans="1:21"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c r="U2043" s="5"/>
    </row>
    <row r="2044" spans="1:21"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c r="U2044" s="5"/>
    </row>
    <row r="2045" spans="1:21"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c r="U2045" s="5"/>
    </row>
    <row r="2046" spans="1:21"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c r="U2046" s="5"/>
    </row>
    <row r="2047" spans="1:21"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c r="U2047" s="5"/>
    </row>
    <row r="2048" spans="1:21"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c r="U2048" s="5"/>
    </row>
    <row r="2049" spans="1:21"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c r="U2049" s="5"/>
    </row>
    <row r="2050" spans="1:21"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c r="U2050" s="5"/>
    </row>
    <row r="2051" spans="1:21"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c r="U2051" s="5"/>
    </row>
    <row r="2052" spans="1:21"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c r="U2052" s="5"/>
    </row>
    <row r="2053" spans="1:21"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c r="U2053" s="5"/>
    </row>
    <row r="2054" spans="1:21"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c r="U2054" s="5"/>
    </row>
    <row r="2055" spans="1:21"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c r="U2055" s="5"/>
    </row>
    <row r="2056" spans="1:21"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c r="U2056" s="5"/>
    </row>
    <row r="2057" spans="1:21"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c r="U2057" s="5"/>
    </row>
    <row r="2058" spans="1:21"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c r="U2058" s="5"/>
    </row>
    <row r="2059" spans="1:21"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c r="U2059" s="5"/>
    </row>
    <row r="2060" spans="1:21"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c r="U2060" s="5"/>
    </row>
    <row r="2061" spans="1:21"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c r="U2061" s="5"/>
    </row>
    <row r="2062" spans="1:21"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c r="U2062" s="5"/>
    </row>
    <row r="2063" spans="1:21"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c r="U2063" s="5"/>
    </row>
    <row r="2064" spans="1:21"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c r="U2064" s="5"/>
    </row>
    <row r="2065" spans="1:21"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c r="U2065" s="5"/>
    </row>
  </sheetData>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07196-E6CF-428B-A8F5-066CC7F2ABD4}">
  <dimension ref="B4:Q147"/>
  <sheetViews>
    <sheetView topLeftCell="G1" zoomScale="90" workbookViewId="0">
      <selection activeCell="Q12" sqref="Q12"/>
    </sheetView>
  </sheetViews>
  <sheetFormatPr defaultRowHeight="13.2" x14ac:dyDescent="0.25"/>
  <cols>
    <col min="2" max="2" width="13.44140625" bestFit="1" customWidth="1"/>
    <col min="3" max="3" width="12" bestFit="1" customWidth="1"/>
    <col min="6" max="7" width="19.6640625" bestFit="1" customWidth="1"/>
    <col min="8" max="9" width="12" bestFit="1" customWidth="1"/>
    <col min="11" max="11" width="17.77734375" bestFit="1" customWidth="1"/>
    <col min="12" max="12" width="12" bestFit="1" customWidth="1"/>
    <col min="16" max="16" width="13.44140625" bestFit="1" customWidth="1"/>
    <col min="17" max="17" width="12" bestFit="1" customWidth="1"/>
  </cols>
  <sheetData>
    <row r="4" spans="2:17" x14ac:dyDescent="0.25">
      <c r="B4" s="6" t="s">
        <v>2100</v>
      </c>
      <c r="C4" t="s">
        <v>2102</v>
      </c>
      <c r="F4" s="6" t="s">
        <v>2100</v>
      </c>
      <c r="G4" t="s">
        <v>2103</v>
      </c>
      <c r="K4" s="6" t="s">
        <v>2100</v>
      </c>
      <c r="L4" t="s">
        <v>2102</v>
      </c>
    </row>
    <row r="5" spans="2:17" x14ac:dyDescent="0.25">
      <c r="B5" s="7" t="s">
        <v>25</v>
      </c>
      <c r="C5">
        <v>323677.21050000004</v>
      </c>
      <c r="F5" s="7" t="s">
        <v>73</v>
      </c>
      <c r="G5" s="22">
        <v>5634.5159999999933</v>
      </c>
      <c r="K5" s="7" t="s">
        <v>2106</v>
      </c>
      <c r="L5">
        <v>62787.154500000011</v>
      </c>
    </row>
    <row r="6" spans="2:17" x14ac:dyDescent="0.25">
      <c r="B6" s="7" t="s">
        <v>19</v>
      </c>
      <c r="C6">
        <v>207461.37299999976</v>
      </c>
      <c r="F6" s="7" t="s">
        <v>30</v>
      </c>
      <c r="G6" s="22">
        <v>4279.9534999999996</v>
      </c>
      <c r="K6" s="7" t="s">
        <v>2107</v>
      </c>
      <c r="L6">
        <v>61748.284499999943</v>
      </c>
    </row>
    <row r="7" spans="2:17" x14ac:dyDescent="0.25">
      <c r="B7" s="7" t="s">
        <v>27</v>
      </c>
      <c r="C7">
        <v>128133.894</v>
      </c>
      <c r="F7" s="7" t="s">
        <v>37</v>
      </c>
      <c r="G7" s="22">
        <v>10483.54850000001</v>
      </c>
      <c r="K7" s="7" t="s">
        <v>2108</v>
      </c>
      <c r="L7">
        <v>51096.769500000002</v>
      </c>
    </row>
    <row r="8" spans="2:17" x14ac:dyDescent="0.25">
      <c r="B8" s="7" t="s">
        <v>2101</v>
      </c>
      <c r="C8">
        <v>659272.4774999998</v>
      </c>
      <c r="F8" s="7" t="s">
        <v>51</v>
      </c>
      <c r="G8" s="22">
        <v>2815.6970000000006</v>
      </c>
      <c r="K8" s="7" t="s">
        <v>2109</v>
      </c>
      <c r="L8">
        <v>62859.300000000032</v>
      </c>
    </row>
    <row r="9" spans="2:17" x14ac:dyDescent="0.25">
      <c r="F9" s="7" t="s">
        <v>42</v>
      </c>
      <c r="G9" s="22">
        <v>3292.933</v>
      </c>
      <c r="K9" s="7" t="s">
        <v>2110</v>
      </c>
      <c r="L9">
        <v>64323.178500000002</v>
      </c>
    </row>
    <row r="10" spans="2:17" x14ac:dyDescent="0.25">
      <c r="F10" s="7" t="s">
        <v>22</v>
      </c>
      <c r="G10" s="22">
        <v>4887.2794999999969</v>
      </c>
      <c r="K10" s="7" t="s">
        <v>2111</v>
      </c>
      <c r="L10">
        <v>67761.613500000021</v>
      </c>
    </row>
    <row r="11" spans="2:17" x14ac:dyDescent="0.25">
      <c r="B11" s="6" t="s">
        <v>2100</v>
      </c>
      <c r="C11" t="s">
        <v>2102</v>
      </c>
      <c r="F11" s="7" t="s">
        <v>2101</v>
      </c>
      <c r="G11" s="22">
        <v>31393.927500000002</v>
      </c>
      <c r="K11" s="7" t="s">
        <v>2112</v>
      </c>
      <c r="L11">
        <v>50664.725999999973</v>
      </c>
      <c r="P11" s="6" t="s">
        <v>2100</v>
      </c>
      <c r="Q11" t="s">
        <v>2102</v>
      </c>
    </row>
    <row r="12" spans="2:17" x14ac:dyDescent="0.25">
      <c r="B12" s="7" t="s">
        <v>32</v>
      </c>
      <c r="C12">
        <v>169948.96799999985</v>
      </c>
      <c r="K12" s="7" t="s">
        <v>2113</v>
      </c>
      <c r="L12">
        <v>45592.007999999987</v>
      </c>
      <c r="P12" s="7" t="s">
        <v>29</v>
      </c>
      <c r="Q12" s="22">
        <v>190095.56999999983</v>
      </c>
    </row>
    <row r="13" spans="2:17" x14ac:dyDescent="0.25">
      <c r="B13" s="7" t="s">
        <v>50</v>
      </c>
      <c r="C13">
        <v>141567.69899999994</v>
      </c>
      <c r="K13" s="7" t="s">
        <v>2114</v>
      </c>
      <c r="L13">
        <v>61960.132500000007</v>
      </c>
      <c r="P13" s="7" t="s">
        <v>21</v>
      </c>
      <c r="Q13" s="22">
        <v>469176.90749999945</v>
      </c>
    </row>
    <row r="14" spans="2:17" x14ac:dyDescent="0.25">
      <c r="B14" s="7" t="s">
        <v>18</v>
      </c>
      <c r="C14">
        <v>347755.81050000031</v>
      </c>
      <c r="F14" s="6" t="s">
        <v>2100</v>
      </c>
      <c r="G14" t="s">
        <v>2102</v>
      </c>
      <c r="K14" s="7" t="s">
        <v>2115</v>
      </c>
      <c r="L14">
        <v>80863.681500000108</v>
      </c>
      <c r="P14" s="7" t="s">
        <v>2101</v>
      </c>
      <c r="Q14" s="22">
        <v>659272.47749999934</v>
      </c>
    </row>
    <row r="15" spans="2:17" x14ac:dyDescent="0.25">
      <c r="B15" s="7" t="s">
        <v>2101</v>
      </c>
      <c r="C15">
        <v>659272.47750000004</v>
      </c>
      <c r="F15" s="7" t="s">
        <v>20</v>
      </c>
      <c r="G15">
        <v>310127.82149999967</v>
      </c>
      <c r="K15" s="7" t="s">
        <v>2116</v>
      </c>
      <c r="L15">
        <v>49615.628999999986</v>
      </c>
    </row>
    <row r="16" spans="2:17" x14ac:dyDescent="0.25">
      <c r="F16" s="7" t="s">
        <v>28</v>
      </c>
      <c r="G16">
        <v>349144.65600000054</v>
      </c>
      <c r="K16" s="7" t="s">
        <v>2101</v>
      </c>
      <c r="L16">
        <v>659272.47749999992</v>
      </c>
    </row>
    <row r="17" spans="2:11" x14ac:dyDescent="0.25">
      <c r="F17" s="7" t="s">
        <v>2101</v>
      </c>
      <c r="G17">
        <v>659272.47750000027</v>
      </c>
    </row>
    <row r="18" spans="2:11" x14ac:dyDescent="0.25">
      <c r="B18" s="6" t="s">
        <v>2100</v>
      </c>
      <c r="C18" t="s">
        <v>2102</v>
      </c>
    </row>
    <row r="19" spans="2:11" x14ac:dyDescent="0.25">
      <c r="B19" s="8">
        <v>43466</v>
      </c>
      <c r="C19" s="22">
        <v>10991.168999999998</v>
      </c>
    </row>
    <row r="20" spans="2:11" x14ac:dyDescent="0.25">
      <c r="B20" s="8">
        <v>43467</v>
      </c>
      <c r="C20" s="22">
        <v>4525.1954999999998</v>
      </c>
      <c r="F20" s="6" t="s">
        <v>2102</v>
      </c>
      <c r="G20" s="6" t="s">
        <v>2104</v>
      </c>
    </row>
    <row r="21" spans="2:11" x14ac:dyDescent="0.25">
      <c r="B21" s="8">
        <v>43468</v>
      </c>
      <c r="C21" s="22">
        <v>2750.4750000000004</v>
      </c>
      <c r="F21" s="6" t="s">
        <v>2100</v>
      </c>
      <c r="G21" t="s">
        <v>29</v>
      </c>
      <c r="H21" t="s">
        <v>21</v>
      </c>
      <c r="I21" t="s">
        <v>2101</v>
      </c>
    </row>
    <row r="22" spans="2:11" x14ac:dyDescent="0.25">
      <c r="B22" s="8">
        <v>43469</v>
      </c>
      <c r="C22" s="22">
        <v>4175.356499999999</v>
      </c>
      <c r="F22" s="7" t="s">
        <v>73</v>
      </c>
      <c r="G22">
        <v>20013.273000000008</v>
      </c>
      <c r="H22">
        <v>98311.563000000097</v>
      </c>
      <c r="I22">
        <v>118324.8360000001</v>
      </c>
    </row>
    <row r="23" spans="2:11" x14ac:dyDescent="0.25">
      <c r="B23" s="8">
        <v>43470</v>
      </c>
      <c r="C23" s="22">
        <v>5317.3680000000004</v>
      </c>
      <c r="F23" s="7" t="s">
        <v>30</v>
      </c>
      <c r="G23">
        <v>26560.401000000005</v>
      </c>
      <c r="H23">
        <v>63318.62249999999</v>
      </c>
      <c r="I23">
        <v>89879.023499999996</v>
      </c>
    </row>
    <row r="24" spans="2:11" x14ac:dyDescent="0.25">
      <c r="B24" s="8">
        <v>43471</v>
      </c>
      <c r="C24" s="22">
        <v>7151.8229999999994</v>
      </c>
      <c r="F24" s="7" t="s">
        <v>37</v>
      </c>
      <c r="G24">
        <v>78258.768000000025</v>
      </c>
      <c r="H24">
        <v>141895.75050000014</v>
      </c>
      <c r="I24">
        <v>220154.51850000018</v>
      </c>
      <c r="K24" t="s">
        <v>2117</v>
      </c>
    </row>
    <row r="25" spans="2:11" x14ac:dyDescent="0.25">
      <c r="B25" s="8">
        <v>43472</v>
      </c>
      <c r="C25" s="22">
        <v>4858.4970000000003</v>
      </c>
      <c r="F25" s="7" t="s">
        <v>51</v>
      </c>
      <c r="G25">
        <v>12766.813500000002</v>
      </c>
      <c r="H25">
        <v>46362.823499999991</v>
      </c>
      <c r="I25">
        <v>59129.636999999995</v>
      </c>
      <c r="K25">
        <v>2064</v>
      </c>
    </row>
    <row r="26" spans="2:11" x14ac:dyDescent="0.25">
      <c r="B26" s="8">
        <v>43473</v>
      </c>
      <c r="C26" s="22">
        <v>13712.076000000001</v>
      </c>
      <c r="F26" s="7" t="s">
        <v>42</v>
      </c>
      <c r="G26">
        <v>28521.0975</v>
      </c>
      <c r="H26">
        <v>40630.495499999997</v>
      </c>
      <c r="I26">
        <v>69151.592999999993</v>
      </c>
    </row>
    <row r="27" spans="2:11" x14ac:dyDescent="0.25">
      <c r="B27" s="8">
        <v>43474</v>
      </c>
      <c r="C27" s="22">
        <v>5529.8144999999995</v>
      </c>
      <c r="F27" s="7" t="s">
        <v>22</v>
      </c>
      <c r="G27">
        <v>23975.216999999997</v>
      </c>
      <c r="H27">
        <v>78657.652500000026</v>
      </c>
      <c r="I27">
        <v>102632.86950000003</v>
      </c>
    </row>
    <row r="28" spans="2:11" x14ac:dyDescent="0.25">
      <c r="B28" s="8">
        <v>43475</v>
      </c>
      <c r="C28" s="22">
        <v>6859.1985000000004</v>
      </c>
      <c r="F28" s="7" t="s">
        <v>2101</v>
      </c>
      <c r="G28">
        <v>190095.57000000004</v>
      </c>
      <c r="H28">
        <v>469176.90750000026</v>
      </c>
      <c r="I28">
        <v>659272.47750000027</v>
      </c>
      <c r="K28" s="10">
        <f>GETPIVOTDATA("Total",$B$11)</f>
        <v>659272.47750000004</v>
      </c>
    </row>
    <row r="29" spans="2:11" x14ac:dyDescent="0.25">
      <c r="B29" s="8">
        <v>43476</v>
      </c>
      <c r="C29" s="22">
        <v>4370.8980000000001</v>
      </c>
      <c r="K29" s="10">
        <f>GETPIVOTDATA("gross income",$F$4)</f>
        <v>31393.927500000002</v>
      </c>
    </row>
    <row r="30" spans="2:11" x14ac:dyDescent="0.25">
      <c r="B30" s="8">
        <v>43477</v>
      </c>
      <c r="C30" s="22">
        <v>9468.0704999999998</v>
      </c>
      <c r="K30" s="9">
        <v>2064</v>
      </c>
    </row>
    <row r="31" spans="2:11" x14ac:dyDescent="0.25">
      <c r="B31" s="8">
        <v>43478</v>
      </c>
      <c r="C31" s="22">
        <v>5582.0520000000006</v>
      </c>
      <c r="F31" s="6" t="s">
        <v>2100</v>
      </c>
      <c r="G31" t="s">
        <v>2105</v>
      </c>
      <c r="K31" s="11">
        <f>GETPIVOTDATA("Rating",$F$31)</f>
        <v>7.1983527131782949</v>
      </c>
    </row>
    <row r="32" spans="2:11" x14ac:dyDescent="0.25">
      <c r="B32" s="8">
        <v>43479</v>
      </c>
      <c r="C32" s="22">
        <v>10594.762500000001</v>
      </c>
      <c r="F32" s="7" t="s">
        <v>73</v>
      </c>
      <c r="G32">
        <v>7.160052910052908</v>
      </c>
    </row>
    <row r="33" spans="2:8" x14ac:dyDescent="0.25">
      <c r="B33" s="8">
        <v>43480</v>
      </c>
      <c r="C33" s="22">
        <v>10700.896500000001</v>
      </c>
      <c r="F33" s="7" t="s">
        <v>30</v>
      </c>
      <c r="G33">
        <v>7.2910000000000066</v>
      </c>
    </row>
    <row r="34" spans="2:8" x14ac:dyDescent="0.25">
      <c r="B34" s="8">
        <v>43481</v>
      </c>
      <c r="C34" s="22">
        <v>11166.057000000003</v>
      </c>
      <c r="F34" s="7" t="s">
        <v>37</v>
      </c>
      <c r="G34">
        <v>7.1961756373937673</v>
      </c>
    </row>
    <row r="35" spans="2:8" x14ac:dyDescent="0.25">
      <c r="B35" s="8">
        <v>43482</v>
      </c>
      <c r="C35" s="22">
        <v>6764.3729999999996</v>
      </c>
      <c r="F35" s="7" t="s">
        <v>51</v>
      </c>
      <c r="G35">
        <v>7.1598837209302326</v>
      </c>
    </row>
    <row r="36" spans="2:8" x14ac:dyDescent="0.25">
      <c r="B36" s="8">
        <v>43483</v>
      </c>
      <c r="C36" s="22">
        <v>6810.6989999999987</v>
      </c>
      <c r="F36" s="7" t="s">
        <v>42</v>
      </c>
      <c r="G36">
        <v>7.0912371134020624</v>
      </c>
    </row>
    <row r="37" spans="2:8" x14ac:dyDescent="0.25">
      <c r="B37" s="8">
        <v>43484</v>
      </c>
      <c r="C37" s="22">
        <v>9709.2345000000041</v>
      </c>
      <c r="F37" s="7" t="s">
        <v>22</v>
      </c>
      <c r="G37">
        <v>7.2480891719745228</v>
      </c>
    </row>
    <row r="38" spans="2:8" x14ac:dyDescent="0.25">
      <c r="B38" s="8">
        <v>43485</v>
      </c>
      <c r="C38" s="22">
        <v>5097.4350000000004</v>
      </c>
      <c r="F38" s="7" t="s">
        <v>2101</v>
      </c>
      <c r="G38">
        <v>7.1983527131782949</v>
      </c>
    </row>
    <row r="39" spans="2:8" x14ac:dyDescent="0.25">
      <c r="B39" s="8">
        <v>43486</v>
      </c>
      <c r="C39" s="22">
        <v>3167.7345</v>
      </c>
    </row>
    <row r="40" spans="2:8" x14ac:dyDescent="0.25">
      <c r="B40" s="8">
        <v>43487</v>
      </c>
      <c r="C40" s="22">
        <v>2561.9160000000002</v>
      </c>
    </row>
    <row r="41" spans="2:8" x14ac:dyDescent="0.25">
      <c r="B41" s="8">
        <v>43488</v>
      </c>
      <c r="C41" s="22">
        <v>9369.1394999999993</v>
      </c>
      <c r="F41" s="6" t="s">
        <v>2100</v>
      </c>
      <c r="G41" t="s">
        <v>2103</v>
      </c>
    </row>
    <row r="42" spans="2:8" x14ac:dyDescent="0.25">
      <c r="B42" s="8">
        <v>43489</v>
      </c>
      <c r="C42" s="22">
        <v>12614.132999999998</v>
      </c>
      <c r="F42" s="7" t="s">
        <v>27</v>
      </c>
      <c r="G42">
        <v>6101.6139999999968</v>
      </c>
    </row>
    <row r="43" spans="2:8" x14ac:dyDescent="0.25">
      <c r="B43" s="8">
        <v>43490</v>
      </c>
      <c r="C43" s="22">
        <v>9788.3625000000011</v>
      </c>
      <c r="F43" s="7" t="s">
        <v>19</v>
      </c>
      <c r="G43">
        <v>9879.1130000000012</v>
      </c>
    </row>
    <row r="44" spans="2:8" x14ac:dyDescent="0.25">
      <c r="B44" s="8">
        <v>43491</v>
      </c>
      <c r="C44" s="22">
        <v>10109.431500000001</v>
      </c>
      <c r="F44" s="7" t="s">
        <v>25</v>
      </c>
      <c r="G44">
        <v>15413.200500000014</v>
      </c>
    </row>
    <row r="45" spans="2:8" x14ac:dyDescent="0.25">
      <c r="B45" s="8">
        <v>43492</v>
      </c>
      <c r="C45" s="22">
        <v>10172.778000000002</v>
      </c>
      <c r="F45" s="7" t="s">
        <v>2101</v>
      </c>
      <c r="G45">
        <v>31393.927500000013</v>
      </c>
    </row>
    <row r="46" spans="2:8" x14ac:dyDescent="0.25">
      <c r="B46" s="8">
        <v>43493</v>
      </c>
      <c r="C46" s="22">
        <v>7605.9795000000013</v>
      </c>
    </row>
    <row r="47" spans="2:8" x14ac:dyDescent="0.25">
      <c r="B47" s="8">
        <v>43494</v>
      </c>
      <c r="C47" s="22">
        <v>7109.7705000000005</v>
      </c>
      <c r="F47" s="6" t="s">
        <v>2100</v>
      </c>
      <c r="G47" t="s">
        <v>2102</v>
      </c>
      <c r="H47" t="s">
        <v>2103</v>
      </c>
    </row>
    <row r="48" spans="2:8" x14ac:dyDescent="0.25">
      <c r="B48" s="8">
        <v>43495</v>
      </c>
      <c r="C48" s="22">
        <v>6636.2835000000005</v>
      </c>
      <c r="F48" s="7" t="s">
        <v>73</v>
      </c>
      <c r="G48">
        <v>118324.83600000011</v>
      </c>
      <c r="H48">
        <v>5634.5159999999933</v>
      </c>
    </row>
    <row r="49" spans="2:8" x14ac:dyDescent="0.25">
      <c r="B49" s="8">
        <v>43496</v>
      </c>
      <c r="C49" s="22">
        <v>9110.4719999999979</v>
      </c>
      <c r="F49" s="7" t="s">
        <v>30</v>
      </c>
      <c r="G49">
        <v>89879.023499999967</v>
      </c>
      <c r="H49">
        <v>4279.9534999999996</v>
      </c>
    </row>
    <row r="50" spans="2:8" x14ac:dyDescent="0.25">
      <c r="B50" s="8">
        <v>43497</v>
      </c>
      <c r="C50" s="22">
        <v>4240.4669999999996</v>
      </c>
      <c r="F50" s="7" t="s">
        <v>37</v>
      </c>
      <c r="G50">
        <v>220154.51849999995</v>
      </c>
      <c r="H50">
        <v>10483.54850000001</v>
      </c>
    </row>
    <row r="51" spans="2:8" x14ac:dyDescent="0.25">
      <c r="B51" s="8">
        <v>43498</v>
      </c>
      <c r="C51" s="22">
        <v>10187.016</v>
      </c>
      <c r="F51" s="7" t="s">
        <v>51</v>
      </c>
      <c r="G51">
        <v>59129.637000000002</v>
      </c>
      <c r="H51">
        <v>2815.6970000000006</v>
      </c>
    </row>
    <row r="52" spans="2:8" x14ac:dyDescent="0.25">
      <c r="B52" s="8">
        <v>43499</v>
      </c>
      <c r="C52" s="22">
        <v>12943.717500000002</v>
      </c>
      <c r="F52" s="7" t="s">
        <v>42</v>
      </c>
      <c r="G52">
        <v>69151.592999999993</v>
      </c>
      <c r="H52">
        <v>3292.933</v>
      </c>
    </row>
    <row r="53" spans="2:8" x14ac:dyDescent="0.25">
      <c r="B53" s="8">
        <v>43500</v>
      </c>
      <c r="C53" s="22">
        <v>5640.5370000000003</v>
      </c>
      <c r="F53" s="7" t="s">
        <v>22</v>
      </c>
      <c r="G53">
        <v>102632.8695</v>
      </c>
      <c r="H53">
        <v>4887.2794999999969</v>
      </c>
    </row>
    <row r="54" spans="2:8" x14ac:dyDescent="0.25">
      <c r="B54" s="8">
        <v>43501</v>
      </c>
      <c r="C54" s="22">
        <v>6431.5125000000007</v>
      </c>
      <c r="F54" s="7" t="s">
        <v>2101</v>
      </c>
      <c r="G54">
        <v>659272.47750000004</v>
      </c>
      <c r="H54">
        <v>31393.927500000002</v>
      </c>
    </row>
    <row r="55" spans="2:8" x14ac:dyDescent="0.25">
      <c r="B55" s="8">
        <v>43502</v>
      </c>
      <c r="C55" s="22">
        <v>5887.6125000000002</v>
      </c>
    </row>
    <row r="56" spans="2:8" x14ac:dyDescent="0.25">
      <c r="B56" s="8">
        <v>43503</v>
      </c>
      <c r="C56" s="22">
        <v>15748.540499999999</v>
      </c>
    </row>
    <row r="57" spans="2:8" x14ac:dyDescent="0.25">
      <c r="B57" s="8">
        <v>43504</v>
      </c>
      <c r="C57" s="22">
        <v>8884.5119999999988</v>
      </c>
      <c r="F57" s="6" t="s">
        <v>2100</v>
      </c>
      <c r="G57" t="s">
        <v>2102</v>
      </c>
    </row>
    <row r="58" spans="2:8" x14ac:dyDescent="0.25">
      <c r="B58" s="8">
        <v>43505</v>
      </c>
      <c r="C58" s="22">
        <v>6941.3399999999992</v>
      </c>
      <c r="F58" s="8">
        <v>43466</v>
      </c>
      <c r="G58">
        <v>10991.168999999998</v>
      </c>
    </row>
    <row r="59" spans="2:8" x14ac:dyDescent="0.25">
      <c r="B59" s="8">
        <v>43506</v>
      </c>
      <c r="C59" s="22">
        <v>7781.1824999999999</v>
      </c>
      <c r="F59" s="8">
        <v>43467</v>
      </c>
      <c r="G59">
        <v>4525.1954999999998</v>
      </c>
    </row>
    <row r="60" spans="2:8" x14ac:dyDescent="0.25">
      <c r="B60" s="8">
        <v>43507</v>
      </c>
      <c r="C60" s="22">
        <v>9926.9940000000006</v>
      </c>
      <c r="F60" s="8">
        <v>43468</v>
      </c>
      <c r="G60">
        <v>2750.4750000000004</v>
      </c>
    </row>
    <row r="61" spans="2:8" x14ac:dyDescent="0.25">
      <c r="B61" s="8">
        <v>43508</v>
      </c>
      <c r="C61" s="22">
        <v>6457.5630000000001</v>
      </c>
      <c r="F61" s="8">
        <v>43469</v>
      </c>
      <c r="G61">
        <v>4175.356499999999</v>
      </c>
    </row>
    <row r="62" spans="2:8" x14ac:dyDescent="0.25">
      <c r="B62" s="8">
        <v>43509</v>
      </c>
      <c r="C62" s="22">
        <v>2345.2064999999998</v>
      </c>
      <c r="F62" s="8">
        <v>43470</v>
      </c>
      <c r="G62">
        <v>5317.3680000000004</v>
      </c>
    </row>
    <row r="63" spans="2:8" x14ac:dyDescent="0.25">
      <c r="B63" s="8">
        <v>43510</v>
      </c>
      <c r="C63" s="22">
        <v>6008.089500000001</v>
      </c>
      <c r="F63" s="8">
        <v>43471</v>
      </c>
      <c r="G63">
        <v>7151.8229999999994</v>
      </c>
    </row>
    <row r="64" spans="2:8" x14ac:dyDescent="0.25">
      <c r="B64" s="8">
        <v>43511</v>
      </c>
      <c r="C64" s="22">
        <v>12570.578999999998</v>
      </c>
      <c r="F64" s="8">
        <v>43472</v>
      </c>
      <c r="G64">
        <v>4858.4970000000003</v>
      </c>
    </row>
    <row r="65" spans="2:7" x14ac:dyDescent="0.25">
      <c r="B65" s="8">
        <v>43512</v>
      </c>
      <c r="C65" s="22">
        <v>5177.8230000000003</v>
      </c>
      <c r="F65" s="8">
        <v>43473</v>
      </c>
      <c r="G65">
        <v>13712.076000000001</v>
      </c>
    </row>
    <row r="66" spans="2:7" x14ac:dyDescent="0.25">
      <c r="B66" s="8">
        <v>43513</v>
      </c>
      <c r="C66" s="22">
        <v>10965.160500000002</v>
      </c>
      <c r="F66" s="8">
        <v>43474</v>
      </c>
      <c r="G66">
        <v>5529.8144999999995</v>
      </c>
    </row>
    <row r="67" spans="2:7" x14ac:dyDescent="0.25">
      <c r="B67" s="8">
        <v>43514</v>
      </c>
      <c r="C67" s="22">
        <v>2321.8755000000001</v>
      </c>
      <c r="F67" s="8">
        <v>43475</v>
      </c>
      <c r="G67">
        <v>6859.1985000000004</v>
      </c>
    </row>
    <row r="68" spans="2:7" x14ac:dyDescent="0.25">
      <c r="B68" s="8">
        <v>43515</v>
      </c>
      <c r="C68" s="22">
        <v>10916.629499999999</v>
      </c>
      <c r="F68" s="8">
        <v>43476</v>
      </c>
      <c r="G68">
        <v>4370.8980000000001</v>
      </c>
    </row>
    <row r="69" spans="2:7" x14ac:dyDescent="0.25">
      <c r="B69" s="8">
        <v>43516</v>
      </c>
      <c r="C69" s="22">
        <v>5481.2624999999998</v>
      </c>
      <c r="F69" s="8">
        <v>43477</v>
      </c>
      <c r="G69">
        <v>9468.0704999999998</v>
      </c>
    </row>
    <row r="70" spans="2:7" x14ac:dyDescent="0.25">
      <c r="B70" s="8">
        <v>43517</v>
      </c>
      <c r="C70" s="22">
        <v>2649.8325</v>
      </c>
      <c r="F70" s="8">
        <v>43478</v>
      </c>
      <c r="G70">
        <v>5582.0520000000006</v>
      </c>
    </row>
    <row r="71" spans="2:7" x14ac:dyDescent="0.25">
      <c r="B71" s="8">
        <v>43518</v>
      </c>
      <c r="C71" s="22">
        <v>5904.7904999999992</v>
      </c>
      <c r="F71" s="8">
        <v>43479</v>
      </c>
      <c r="G71">
        <v>10594.762500000001</v>
      </c>
    </row>
    <row r="72" spans="2:7" x14ac:dyDescent="0.25">
      <c r="B72" s="8">
        <v>43519</v>
      </c>
      <c r="C72" s="22">
        <v>5684.0280000000012</v>
      </c>
      <c r="F72" s="8">
        <v>43480</v>
      </c>
      <c r="G72">
        <v>10700.896500000001</v>
      </c>
    </row>
    <row r="73" spans="2:7" x14ac:dyDescent="0.25">
      <c r="B73" s="8">
        <v>43520</v>
      </c>
      <c r="C73" s="22">
        <v>5220.0119999999997</v>
      </c>
      <c r="F73" s="8">
        <v>43481</v>
      </c>
      <c r="G73">
        <v>11166.057000000003</v>
      </c>
    </row>
    <row r="74" spans="2:7" x14ac:dyDescent="0.25">
      <c r="B74" s="8">
        <v>43521</v>
      </c>
      <c r="C74" s="22">
        <v>10678.835999999999</v>
      </c>
      <c r="F74" s="8">
        <v>43482</v>
      </c>
      <c r="G74">
        <v>6764.3729999999996</v>
      </c>
    </row>
    <row r="75" spans="2:7" x14ac:dyDescent="0.25">
      <c r="B75" s="8">
        <v>43522</v>
      </c>
      <c r="C75" s="22">
        <v>5697.6989999999996</v>
      </c>
      <c r="F75" s="8">
        <v>43483</v>
      </c>
      <c r="G75">
        <v>6810.6989999999987</v>
      </c>
    </row>
    <row r="76" spans="2:7" x14ac:dyDescent="0.25">
      <c r="B76" s="8">
        <v>43523</v>
      </c>
      <c r="C76" s="22">
        <v>11414.665500000003</v>
      </c>
      <c r="F76" s="8">
        <v>43484</v>
      </c>
      <c r="G76">
        <v>9709.2345000000041</v>
      </c>
    </row>
    <row r="77" spans="2:7" x14ac:dyDescent="0.25">
      <c r="B77" s="8">
        <v>43524</v>
      </c>
      <c r="C77" s="22">
        <v>6014.0010000000002</v>
      </c>
      <c r="F77" s="8">
        <v>43485</v>
      </c>
      <c r="G77">
        <v>5097.4350000000004</v>
      </c>
    </row>
    <row r="78" spans="2:7" x14ac:dyDescent="0.25">
      <c r="B78" s="8">
        <v>43525</v>
      </c>
      <c r="C78" s="22">
        <v>5516.3849999999993</v>
      </c>
      <c r="F78" s="8">
        <v>43486</v>
      </c>
      <c r="G78">
        <v>3167.7345</v>
      </c>
    </row>
    <row r="79" spans="2:7" x14ac:dyDescent="0.25">
      <c r="B79" s="8">
        <v>43526</v>
      </c>
      <c r="C79" s="22">
        <v>13066.578</v>
      </c>
      <c r="F79" s="8">
        <v>43487</v>
      </c>
      <c r="G79">
        <v>2561.9160000000002</v>
      </c>
    </row>
    <row r="80" spans="2:7" x14ac:dyDescent="0.25">
      <c r="B80" s="8">
        <v>43527</v>
      </c>
      <c r="C80" s="22">
        <v>11465.054999999998</v>
      </c>
      <c r="F80" s="8">
        <v>43488</v>
      </c>
      <c r="G80">
        <v>9369.1394999999993</v>
      </c>
    </row>
    <row r="81" spans="2:7" x14ac:dyDescent="0.25">
      <c r="B81" s="8">
        <v>43528</v>
      </c>
      <c r="C81" s="22">
        <v>6523.1670000000004</v>
      </c>
      <c r="F81" s="8">
        <v>43489</v>
      </c>
      <c r="G81">
        <v>12614.132999999998</v>
      </c>
    </row>
    <row r="82" spans="2:7" x14ac:dyDescent="0.25">
      <c r="B82" s="8">
        <v>43529</v>
      </c>
      <c r="C82" s="22">
        <v>10237.205999999998</v>
      </c>
      <c r="F82" s="8">
        <v>43490</v>
      </c>
      <c r="G82">
        <v>9788.3625000000011</v>
      </c>
    </row>
    <row r="83" spans="2:7" x14ac:dyDescent="0.25">
      <c r="B83" s="8">
        <v>43530</v>
      </c>
      <c r="C83" s="22">
        <v>4913.1914999999999</v>
      </c>
      <c r="F83" s="8">
        <v>43491</v>
      </c>
      <c r="G83">
        <v>10109.431500000001</v>
      </c>
    </row>
    <row r="84" spans="2:7" x14ac:dyDescent="0.25">
      <c r="B84" s="8">
        <v>43531</v>
      </c>
      <c r="C84" s="22">
        <v>3497.0880000000006</v>
      </c>
      <c r="F84" s="8">
        <v>43492</v>
      </c>
      <c r="G84">
        <v>10172.778000000002</v>
      </c>
    </row>
    <row r="85" spans="2:7" x14ac:dyDescent="0.25">
      <c r="B85" s="8">
        <v>43532</v>
      </c>
      <c r="C85" s="22">
        <v>5702.2455</v>
      </c>
      <c r="F85" s="8">
        <v>43493</v>
      </c>
      <c r="G85">
        <v>7605.9795000000013</v>
      </c>
    </row>
    <row r="86" spans="2:7" x14ac:dyDescent="0.25">
      <c r="B86" s="8">
        <v>43533</v>
      </c>
      <c r="C86" s="22">
        <v>16000.477500000003</v>
      </c>
      <c r="F86" s="8">
        <v>43494</v>
      </c>
      <c r="G86">
        <v>7109.7705000000005</v>
      </c>
    </row>
    <row r="87" spans="2:7" x14ac:dyDescent="0.25">
      <c r="B87" s="8">
        <v>43534</v>
      </c>
      <c r="C87" s="22">
        <v>5834.7765000000009</v>
      </c>
      <c r="F87" s="8">
        <v>43495</v>
      </c>
      <c r="G87">
        <v>6636.2835000000005</v>
      </c>
    </row>
    <row r="88" spans="2:7" x14ac:dyDescent="0.25">
      <c r="B88" s="8">
        <v>43535</v>
      </c>
      <c r="C88" s="22">
        <v>4279.2749999999996</v>
      </c>
      <c r="F88" s="8">
        <v>43496</v>
      </c>
      <c r="G88">
        <v>9110.4719999999979</v>
      </c>
    </row>
    <row r="89" spans="2:7" x14ac:dyDescent="0.25">
      <c r="B89" s="8">
        <v>43536</v>
      </c>
      <c r="C89" s="22">
        <v>5641.5449999999992</v>
      </c>
      <c r="F89" s="8">
        <v>43497</v>
      </c>
      <c r="G89">
        <v>4240.4669999999996</v>
      </c>
    </row>
    <row r="90" spans="2:7" x14ac:dyDescent="0.25">
      <c r="B90" s="8">
        <v>43537</v>
      </c>
      <c r="C90" s="22">
        <v>3782.9820000000004</v>
      </c>
      <c r="F90" s="8">
        <v>43498</v>
      </c>
      <c r="G90">
        <v>10187.016</v>
      </c>
    </row>
    <row r="91" spans="2:7" x14ac:dyDescent="0.25">
      <c r="B91" s="8">
        <v>43538</v>
      </c>
      <c r="C91" s="22">
        <v>17304.304499999998</v>
      </c>
      <c r="F91" s="8">
        <v>43499</v>
      </c>
      <c r="G91">
        <v>12943.717500000002</v>
      </c>
    </row>
    <row r="92" spans="2:7" x14ac:dyDescent="0.25">
      <c r="B92" s="8">
        <v>43539</v>
      </c>
      <c r="C92" s="22">
        <v>5646.7740000000013</v>
      </c>
      <c r="F92" s="8">
        <v>43500</v>
      </c>
      <c r="G92">
        <v>5640.5370000000003</v>
      </c>
    </row>
    <row r="93" spans="2:7" x14ac:dyDescent="0.25">
      <c r="B93" s="8">
        <v>43540</v>
      </c>
      <c r="C93" s="22">
        <v>7265.2965000000004</v>
      </c>
      <c r="F93" s="8">
        <v>43501</v>
      </c>
      <c r="G93">
        <v>6431.5125000000007</v>
      </c>
    </row>
    <row r="94" spans="2:7" x14ac:dyDescent="0.25">
      <c r="B94" s="8">
        <v>43541</v>
      </c>
      <c r="C94" s="22">
        <v>3887.7719999999995</v>
      </c>
      <c r="F94" s="8">
        <v>43502</v>
      </c>
      <c r="G94">
        <v>5887.6125000000002</v>
      </c>
    </row>
    <row r="95" spans="2:7" x14ac:dyDescent="0.25">
      <c r="B95" s="8">
        <v>43542</v>
      </c>
      <c r="C95" s="22">
        <v>2763.2429999999999</v>
      </c>
      <c r="F95" s="8">
        <v>43503</v>
      </c>
      <c r="G95">
        <v>15748.540499999999</v>
      </c>
    </row>
    <row r="96" spans="2:7" x14ac:dyDescent="0.25">
      <c r="B96" s="8">
        <v>43543</v>
      </c>
      <c r="C96" s="22">
        <v>9058.0455000000002</v>
      </c>
      <c r="F96" s="8">
        <v>43504</v>
      </c>
      <c r="G96">
        <v>8884.5119999999988</v>
      </c>
    </row>
    <row r="97" spans="2:7" x14ac:dyDescent="0.25">
      <c r="B97" s="8">
        <v>43544</v>
      </c>
      <c r="C97" s="22">
        <v>11159.746499999999</v>
      </c>
      <c r="F97" s="8">
        <v>43505</v>
      </c>
      <c r="G97">
        <v>6941.3399999999992</v>
      </c>
    </row>
    <row r="98" spans="2:7" x14ac:dyDescent="0.25">
      <c r="B98" s="8">
        <v>43545</v>
      </c>
      <c r="C98" s="22">
        <v>5155.4369999999999</v>
      </c>
      <c r="F98" s="8">
        <v>43506</v>
      </c>
      <c r="G98">
        <v>7781.1824999999999</v>
      </c>
    </row>
    <row r="99" spans="2:7" x14ac:dyDescent="0.25">
      <c r="B99" s="8">
        <v>43546</v>
      </c>
      <c r="C99" s="22">
        <v>6312.2534999999998</v>
      </c>
      <c r="F99" s="8">
        <v>43507</v>
      </c>
      <c r="G99">
        <v>9926.9940000000006</v>
      </c>
    </row>
    <row r="100" spans="2:7" x14ac:dyDescent="0.25">
      <c r="B100" s="8">
        <v>43547</v>
      </c>
      <c r="C100" s="22">
        <v>7718.2034999999996</v>
      </c>
      <c r="F100" s="8">
        <v>43508</v>
      </c>
      <c r="G100">
        <v>6457.5630000000001</v>
      </c>
    </row>
    <row r="101" spans="2:7" x14ac:dyDescent="0.25">
      <c r="B101" s="8">
        <v>43548</v>
      </c>
      <c r="C101" s="22">
        <v>6319.0785000000005</v>
      </c>
      <c r="F101" s="8">
        <v>43509</v>
      </c>
      <c r="G101">
        <v>2345.2064999999998</v>
      </c>
    </row>
    <row r="102" spans="2:7" x14ac:dyDescent="0.25">
      <c r="B102" s="8">
        <v>43549</v>
      </c>
      <c r="C102" s="22">
        <v>5465.3970000000008</v>
      </c>
      <c r="F102" s="8">
        <v>43510</v>
      </c>
      <c r="G102">
        <v>6008.089500000001</v>
      </c>
    </row>
    <row r="103" spans="2:7" x14ac:dyDescent="0.25">
      <c r="B103" s="8">
        <v>43550</v>
      </c>
      <c r="C103" s="22">
        <v>3944.6295000000005</v>
      </c>
      <c r="F103" s="8">
        <v>43511</v>
      </c>
      <c r="G103">
        <v>12570.578999999998</v>
      </c>
    </row>
    <row r="104" spans="2:7" x14ac:dyDescent="0.25">
      <c r="B104" s="8">
        <v>43551</v>
      </c>
      <c r="C104" s="22">
        <v>5864.8905000000013</v>
      </c>
      <c r="F104" s="8">
        <v>43512</v>
      </c>
      <c r="G104">
        <v>5177.8230000000003</v>
      </c>
    </row>
    <row r="105" spans="2:7" x14ac:dyDescent="0.25">
      <c r="B105" s="8">
        <v>43552</v>
      </c>
      <c r="C105" s="22">
        <v>5264.2589999999991</v>
      </c>
      <c r="F105" s="8">
        <v>43513</v>
      </c>
      <c r="G105">
        <v>10965.160500000002</v>
      </c>
    </row>
    <row r="106" spans="2:7" x14ac:dyDescent="0.25">
      <c r="B106" s="8">
        <v>43553</v>
      </c>
      <c r="C106" s="22">
        <v>6483.2985000000008</v>
      </c>
      <c r="F106" s="8">
        <v>43514</v>
      </c>
      <c r="G106">
        <v>2321.8755000000001</v>
      </c>
    </row>
    <row r="107" spans="2:7" x14ac:dyDescent="0.25">
      <c r="B107" s="8">
        <v>43554</v>
      </c>
      <c r="C107" s="22">
        <v>8696.9399999999987</v>
      </c>
      <c r="F107" s="8">
        <v>43515</v>
      </c>
      <c r="G107">
        <v>10916.629499999999</v>
      </c>
    </row>
    <row r="108" spans="2:7" x14ac:dyDescent="0.25">
      <c r="B108" s="8" t="s">
        <v>2101</v>
      </c>
      <c r="C108" s="22">
        <v>659272.47749999992</v>
      </c>
      <c r="F108" s="8">
        <v>43516</v>
      </c>
      <c r="G108">
        <v>5481.2624999999998</v>
      </c>
    </row>
    <row r="109" spans="2:7" x14ac:dyDescent="0.25">
      <c r="F109" s="8">
        <v>43517</v>
      </c>
      <c r="G109">
        <v>2649.8325</v>
      </c>
    </row>
    <row r="110" spans="2:7" x14ac:dyDescent="0.25">
      <c r="B110" s="6" t="s">
        <v>2100</v>
      </c>
      <c r="C110" t="s">
        <v>2102</v>
      </c>
      <c r="F110" s="8">
        <v>43518</v>
      </c>
      <c r="G110">
        <v>5904.7904999999992</v>
      </c>
    </row>
    <row r="111" spans="2:7" x14ac:dyDescent="0.25">
      <c r="B111" s="7" t="s">
        <v>23</v>
      </c>
      <c r="C111">
        <v>399492.03000000014</v>
      </c>
      <c r="F111" s="8">
        <v>43519</v>
      </c>
      <c r="G111">
        <v>5684.0280000000012</v>
      </c>
    </row>
    <row r="112" spans="2:7" x14ac:dyDescent="0.25">
      <c r="B112" s="7" t="s">
        <v>45</v>
      </c>
      <c r="C112">
        <v>123692.70899999996</v>
      </c>
      <c r="F112" s="8">
        <v>43520</v>
      </c>
      <c r="G112">
        <v>5220.0119999999997</v>
      </c>
    </row>
    <row r="113" spans="2:7" x14ac:dyDescent="0.25">
      <c r="B113" s="7" t="s">
        <v>38</v>
      </c>
      <c r="C113">
        <v>136087.73850000006</v>
      </c>
      <c r="F113" s="8">
        <v>43521</v>
      </c>
      <c r="G113">
        <v>10678.835999999999</v>
      </c>
    </row>
    <row r="114" spans="2:7" x14ac:dyDescent="0.25">
      <c r="B114" s="7" t="s">
        <v>2101</v>
      </c>
      <c r="C114">
        <v>659272.47750000015</v>
      </c>
      <c r="F114" s="8">
        <v>43522</v>
      </c>
      <c r="G114">
        <v>5697.6989999999996</v>
      </c>
    </row>
    <row r="115" spans="2:7" x14ac:dyDescent="0.25">
      <c r="F115" s="8">
        <v>43523</v>
      </c>
      <c r="G115">
        <v>11414.665500000003</v>
      </c>
    </row>
    <row r="116" spans="2:7" x14ac:dyDescent="0.25">
      <c r="F116" s="8">
        <v>43524</v>
      </c>
      <c r="G116">
        <v>6014.0010000000002</v>
      </c>
    </row>
    <row r="117" spans="2:7" x14ac:dyDescent="0.25">
      <c r="B117" s="6" t="s">
        <v>2100</v>
      </c>
      <c r="C117" t="s">
        <v>2102</v>
      </c>
      <c r="F117" s="8">
        <v>43525</v>
      </c>
      <c r="G117">
        <v>5516.3849999999993</v>
      </c>
    </row>
    <row r="118" spans="2:7" x14ac:dyDescent="0.25">
      <c r="B118" s="7" t="s">
        <v>73</v>
      </c>
      <c r="C118">
        <v>118324.83600000011</v>
      </c>
      <c r="F118" s="8">
        <v>43526</v>
      </c>
      <c r="G118">
        <v>13066.578</v>
      </c>
    </row>
    <row r="119" spans="2:7" x14ac:dyDescent="0.25">
      <c r="B119" s="7" t="s">
        <v>30</v>
      </c>
      <c r="C119">
        <v>89879.023499999967</v>
      </c>
      <c r="F119" s="8">
        <v>43527</v>
      </c>
      <c r="G119">
        <v>11465.054999999998</v>
      </c>
    </row>
    <row r="120" spans="2:7" x14ac:dyDescent="0.25">
      <c r="B120" s="7" t="s">
        <v>37</v>
      </c>
      <c r="C120">
        <v>220154.51849999995</v>
      </c>
      <c r="F120" s="8">
        <v>43528</v>
      </c>
      <c r="G120">
        <v>6523.1670000000004</v>
      </c>
    </row>
    <row r="121" spans="2:7" x14ac:dyDescent="0.25">
      <c r="B121" s="7" t="s">
        <v>51</v>
      </c>
      <c r="C121">
        <v>59129.637000000002</v>
      </c>
      <c r="F121" s="8">
        <v>43529</v>
      </c>
      <c r="G121">
        <v>10237.205999999998</v>
      </c>
    </row>
    <row r="122" spans="2:7" x14ac:dyDescent="0.25">
      <c r="B122" s="7" t="s">
        <v>42</v>
      </c>
      <c r="C122">
        <v>69151.592999999993</v>
      </c>
      <c r="F122" s="8">
        <v>43530</v>
      </c>
      <c r="G122">
        <v>4913.1914999999999</v>
      </c>
    </row>
    <row r="123" spans="2:7" x14ac:dyDescent="0.25">
      <c r="B123" s="7" t="s">
        <v>22</v>
      </c>
      <c r="C123">
        <v>102632.8695</v>
      </c>
      <c r="F123" s="8">
        <v>43531</v>
      </c>
      <c r="G123">
        <v>3497.0880000000006</v>
      </c>
    </row>
    <row r="124" spans="2:7" x14ac:dyDescent="0.25">
      <c r="B124" s="7" t="s">
        <v>2101</v>
      </c>
      <c r="C124">
        <v>659272.47750000004</v>
      </c>
      <c r="F124" s="8">
        <v>43532</v>
      </c>
      <c r="G124">
        <v>5702.2455</v>
      </c>
    </row>
    <row r="125" spans="2:7" x14ac:dyDescent="0.25">
      <c r="F125" s="8">
        <v>43533</v>
      </c>
      <c r="G125">
        <v>16000.477500000003</v>
      </c>
    </row>
    <row r="126" spans="2:7" x14ac:dyDescent="0.25">
      <c r="F126" s="8">
        <v>43534</v>
      </c>
      <c r="G126">
        <v>5834.7765000000009</v>
      </c>
    </row>
    <row r="127" spans="2:7" x14ac:dyDescent="0.25">
      <c r="F127" s="8">
        <v>43535</v>
      </c>
      <c r="G127">
        <v>4279.2749999999996</v>
      </c>
    </row>
    <row r="128" spans="2:7" x14ac:dyDescent="0.25">
      <c r="F128" s="8">
        <v>43536</v>
      </c>
      <c r="G128">
        <v>5641.5449999999992</v>
      </c>
    </row>
    <row r="129" spans="6:7" x14ac:dyDescent="0.25">
      <c r="F129" s="8">
        <v>43537</v>
      </c>
      <c r="G129">
        <v>3782.9820000000004</v>
      </c>
    </row>
    <row r="130" spans="6:7" x14ac:dyDescent="0.25">
      <c r="F130" s="8">
        <v>43538</v>
      </c>
      <c r="G130">
        <v>17304.304499999998</v>
      </c>
    </row>
    <row r="131" spans="6:7" x14ac:dyDescent="0.25">
      <c r="F131" s="8">
        <v>43539</v>
      </c>
      <c r="G131">
        <v>5646.7740000000013</v>
      </c>
    </row>
    <row r="132" spans="6:7" x14ac:dyDescent="0.25">
      <c r="F132" s="8">
        <v>43540</v>
      </c>
      <c r="G132">
        <v>7265.2965000000004</v>
      </c>
    </row>
    <row r="133" spans="6:7" x14ac:dyDescent="0.25">
      <c r="F133" s="8">
        <v>43541</v>
      </c>
      <c r="G133">
        <v>3887.7719999999995</v>
      </c>
    </row>
    <row r="134" spans="6:7" x14ac:dyDescent="0.25">
      <c r="F134" s="8">
        <v>43542</v>
      </c>
      <c r="G134">
        <v>2763.2429999999999</v>
      </c>
    </row>
    <row r="135" spans="6:7" x14ac:dyDescent="0.25">
      <c r="F135" s="8">
        <v>43543</v>
      </c>
      <c r="G135">
        <v>9058.0455000000002</v>
      </c>
    </row>
    <row r="136" spans="6:7" x14ac:dyDescent="0.25">
      <c r="F136" s="8">
        <v>43544</v>
      </c>
      <c r="G136">
        <v>11159.746499999999</v>
      </c>
    </row>
    <row r="137" spans="6:7" x14ac:dyDescent="0.25">
      <c r="F137" s="8">
        <v>43545</v>
      </c>
      <c r="G137">
        <v>5155.4369999999999</v>
      </c>
    </row>
    <row r="138" spans="6:7" x14ac:dyDescent="0.25">
      <c r="F138" s="8">
        <v>43546</v>
      </c>
      <c r="G138">
        <v>6312.2534999999998</v>
      </c>
    </row>
    <row r="139" spans="6:7" x14ac:dyDescent="0.25">
      <c r="F139" s="8">
        <v>43547</v>
      </c>
      <c r="G139">
        <v>7718.2034999999996</v>
      </c>
    </row>
    <row r="140" spans="6:7" x14ac:dyDescent="0.25">
      <c r="F140" s="8">
        <v>43548</v>
      </c>
      <c r="G140">
        <v>6319.0785000000005</v>
      </c>
    </row>
    <row r="141" spans="6:7" x14ac:dyDescent="0.25">
      <c r="F141" s="8">
        <v>43549</v>
      </c>
      <c r="G141">
        <v>5465.3970000000008</v>
      </c>
    </row>
    <row r="142" spans="6:7" x14ac:dyDescent="0.25">
      <c r="F142" s="8">
        <v>43550</v>
      </c>
      <c r="G142">
        <v>3944.6295000000005</v>
      </c>
    </row>
    <row r="143" spans="6:7" x14ac:dyDescent="0.25">
      <c r="F143" s="8">
        <v>43551</v>
      </c>
      <c r="G143">
        <v>5864.8905000000013</v>
      </c>
    </row>
    <row r="144" spans="6:7" x14ac:dyDescent="0.25">
      <c r="F144" s="8">
        <v>43552</v>
      </c>
      <c r="G144">
        <v>5264.2589999999991</v>
      </c>
    </row>
    <row r="145" spans="6:7" x14ac:dyDescent="0.25">
      <c r="F145" s="8">
        <v>43553</v>
      </c>
      <c r="G145">
        <v>6483.2985000000008</v>
      </c>
    </row>
    <row r="146" spans="6:7" x14ac:dyDescent="0.25">
      <c r="F146" s="8">
        <v>43554</v>
      </c>
      <c r="G146">
        <v>8696.9399999999987</v>
      </c>
    </row>
    <row r="147" spans="6:7" x14ac:dyDescent="0.25">
      <c r="F147" s="8" t="s">
        <v>2101</v>
      </c>
      <c r="G147">
        <v>659272.47749999992</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 xmlns:x15="http://schemas.microsoft.com/office/spreadsheetml/2010/11/main" uri="{7E03D99C-DC04-49d9-9315-930204A7B6E9}">
      <x15:timelineRefs>
        <x15:timelineRef r:id="rId1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73550-5C6F-44BC-B868-2E4F3651B873}">
  <dimension ref="Y8"/>
  <sheetViews>
    <sheetView showGridLines="0" showRowColHeaders="0" tabSelected="1" zoomScale="96" workbookViewId="0">
      <selection activeCell="AA9" sqref="AA9"/>
    </sheetView>
  </sheetViews>
  <sheetFormatPr defaultRowHeight="13.2" x14ac:dyDescent="0.25"/>
  <sheetData>
    <row r="8" spans="25:25" ht="13.8" x14ac:dyDescent="0.25">
      <c r="Y8"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 Learning</dc:creator>
  <cp:lastModifiedBy>Mahendra yadav</cp:lastModifiedBy>
  <cp:lastPrinted>2026-06-03T09:40:33Z</cp:lastPrinted>
  <dcterms:created xsi:type="dcterms:W3CDTF">2026-05-28T01:45:46Z</dcterms:created>
  <dcterms:modified xsi:type="dcterms:W3CDTF">2026-06-03T10:07:17Z</dcterms:modified>
</cp:coreProperties>
</file>